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04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76888358-6A15-4F65-8F0A-8252C441086B}" xr6:coauthVersionLast="47" xr6:coauthVersionMax="47" xr10:uidLastSave="{00000000-0000-0000-0000-000000000000}"/>
  <bookViews>
    <workbookView xWindow="-120" yWindow="-120" windowWidth="29040" windowHeight="15720" xr2:uid="{665EDB0D-FE49-4AC2-9758-A49B629E6071}"/>
  </bookViews>
  <sheets>
    <sheet name="dashboard" sheetId="1" r:id="rId1"/>
  </sheets>
  <definedNames>
    <definedName name="_xlnm._FilterDatabase" localSheetId="0" hidden="1">dashboard!$I$2:$P$1004</definedName>
    <definedName name="_xlchart.v1.0" hidden="1">dashboard!$J$4</definedName>
    <definedName name="_xlchart.v1.1" hidden="1">dashboard!$J$5:$J$1004</definedName>
    <definedName name="_xlchart.v1.2" hidden="1">dashboard!$J$4</definedName>
    <definedName name="_xlchart.v1.3" hidden="1">dashboard!$J$5:$J$1004</definedName>
    <definedName name="_xlchart.v1.4" hidden="1">dashboard!$J$4</definedName>
    <definedName name="_xlchart.v1.5" hidden="1">dashboard!$J$5:$J$1004</definedName>
    <definedName name="_xlchart.v1.6" hidden="1">dashboard!$J$4</definedName>
    <definedName name="_xlchart.v1.7" hidden="1">dashboard!$J$5:$J$1004</definedName>
    <definedName name="_xlnm.Print_Area" localSheetId="0">dashboard!$H$20:$I$20</definedName>
    <definedName name="solver_adj" localSheetId="0" hidden="1">dashboard!$B$4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dashboard!$B$18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1.1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" l="1"/>
  <c r="G5" i="1"/>
  <c r="C8" i="1"/>
  <c r="N3" i="1"/>
  <c r="N2" i="1"/>
  <c r="P3" i="1" l="1"/>
  <c r="P2" i="1"/>
  <c r="E4" i="1" s="1"/>
  <c r="E8" i="1"/>
  <c r="O3" i="1" l="1"/>
  <c r="O2" i="1"/>
  <c r="D8" i="1"/>
  <c r="B8" i="1" l="1"/>
  <c r="G8" i="1" s="1"/>
  <c r="J5" i="1" s="1"/>
  <c r="B1" i="1"/>
  <c r="M3" i="1" l="1"/>
  <c r="M2" i="1"/>
  <c r="B12" i="1"/>
  <c r="B15" i="1"/>
  <c r="B19" i="1"/>
  <c r="B14" i="1"/>
  <c r="B11" i="1"/>
  <c r="B18" i="1" l="1"/>
  <c r="C1" i="1"/>
  <c r="D1" i="1" s="1"/>
</calcChain>
</file>

<file path=xl/sharedStrings.xml><?xml version="1.0" encoding="utf-8"?>
<sst xmlns="http://schemas.openxmlformats.org/spreadsheetml/2006/main" count="26" uniqueCount="25">
  <si>
    <t>1st simulation</t>
  </si>
  <si>
    <t>Net</t>
  </si>
  <si>
    <t>Simulation</t>
  </si>
  <si>
    <t>Outcome</t>
  </si>
  <si>
    <t>Döntési szimuláció</t>
  </si>
  <si>
    <t>A bolt</t>
  </si>
  <si>
    <t>C bolt</t>
  </si>
  <si>
    <t>Max készletszint</t>
  </si>
  <si>
    <t>Min készletszint</t>
  </si>
  <si>
    <t>Raktárkészlet</t>
  </si>
  <si>
    <t>Készletszint ingadozása</t>
  </si>
  <si>
    <t>Készlet elérhetőség</t>
  </si>
  <si>
    <t>kockázat / raktárszint aránya</t>
  </si>
  <si>
    <t>B bolt</t>
  </si>
  <si>
    <t>Kereslet/kínálat egyenleg átlaga</t>
  </si>
  <si>
    <t>átlag</t>
  </si>
  <si>
    <t>szórás</t>
  </si>
  <si>
    <t>Target</t>
  </si>
  <si>
    <t>Raktár</t>
  </si>
  <si>
    <t>mennyiségi átlag</t>
  </si>
  <si>
    <t>Bolt A igény</t>
  </si>
  <si>
    <t>Bolt B igény</t>
  </si>
  <si>
    <t>Bolt  C igény</t>
  </si>
  <si>
    <t>arány</t>
  </si>
  <si>
    <t>Targert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</si>
</sst>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Ft&quot;_-;\-* #,##0.00\ &quot;Ft&quot;_-;_-* &quot;-&quot;??\ &quot;Ft&quot;_-;_-@_-"/>
    <numFmt numFmtId="166" formatCode="0.0"/>
    <numFmt numFmtId="167" formatCode="0.0%"/>
    <numFmt numFmtId="168" formatCode="_-* #,##0\ &quot;Ft&quot;_-;\-* #,##0\ &quot;Ft&quot;_-;_-* &quot;-&quot;??\ &quot;Ft&quot;_-;_-@_-"/>
  </numFmts>
  <fonts count="16" x14ac:knownFonts="1">
    <font>
      <sz val="11"/>
      <color theme="1"/>
      <name val="Aptos Narrow"/>
      <family val="2"/>
      <charset val="238"/>
      <scheme val="minor"/>
    </font>
    <font>
      <sz val="11"/>
      <color theme="1"/>
      <name val="Aptos Narrow"/>
      <family val="2"/>
      <charset val="238"/>
      <scheme val="minor"/>
    </font>
    <font>
      <b/>
      <sz val="11"/>
      <color theme="0"/>
      <name val="Aptos Narrow"/>
      <family val="2"/>
      <charset val="238"/>
      <scheme val="minor"/>
    </font>
    <font>
      <sz val="11"/>
      <color theme="0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6"/>
      <color theme="1"/>
      <name val="Aptos Narrow"/>
      <family val="2"/>
      <charset val="238"/>
      <scheme val="minor"/>
    </font>
    <font>
      <sz val="11"/>
      <color theme="4"/>
      <name val="Aptos Narrow"/>
      <family val="2"/>
      <charset val="238"/>
      <scheme val="minor"/>
    </font>
    <font>
      <i/>
      <sz val="11"/>
      <color theme="4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charset val="238"/>
      <scheme val="minor"/>
    </font>
    <font>
      <sz val="11"/>
      <color theme="0" tint="-0.249977111117893"/>
      <name val="Aptos Narrow"/>
      <family val="2"/>
      <charset val="238"/>
      <scheme val="minor"/>
    </font>
    <font>
      <sz val="1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2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1">
    <xf numFmtId="0" fontId="0" fillId="0" borderId="0" xfId="0"/>
    <xf numFmtId="0" fontId="0" fillId="0" borderId="2" xfId="0" applyBorder="1"/>
    <xf numFmtId="0" fontId="0" fillId="0" borderId="4" xfId="0" applyBorder="1"/>
    <xf numFmtId="0" fontId="0" fillId="0" borderId="1" xfId="0" applyBorder="1"/>
    <xf numFmtId="0" fontId="0" fillId="0" borderId="6" xfId="0" applyBorder="1"/>
    <xf numFmtId="0" fontId="2" fillId="2" borderId="8" xfId="0" applyFont="1" applyFill="1" applyBorder="1"/>
    <xf numFmtId="0" fontId="2" fillId="2" borderId="9" xfId="0" applyFont="1" applyFill="1" applyBorder="1"/>
    <xf numFmtId="0" fontId="0" fillId="3" borderId="8" xfId="0" applyFill="1" applyBorder="1"/>
    <xf numFmtId="1" fontId="0" fillId="3" borderId="9" xfId="0" applyNumberFormat="1" applyFill="1" applyBorder="1"/>
    <xf numFmtId="0" fontId="0" fillId="0" borderId="8" xfId="0" applyBorder="1"/>
    <xf numFmtId="1" fontId="0" fillId="0" borderId="9" xfId="0" applyNumberFormat="1" applyBorder="1"/>
    <xf numFmtId="1" fontId="0" fillId="0" borderId="7" xfId="0" applyNumberFormat="1" applyBorder="1"/>
    <xf numFmtId="0" fontId="4" fillId="0" borderId="0" xfId="0" applyFont="1"/>
    <xf numFmtId="9" fontId="0" fillId="0" borderId="0" xfId="1" applyFont="1"/>
    <xf numFmtId="0" fontId="0" fillId="0" borderId="0" xfId="0" applyAlignment="1">
      <alignment horizontal="center"/>
    </xf>
    <xf numFmtId="0" fontId="4" fillId="0" borderId="10" xfId="0" applyFont="1" applyBorder="1" applyAlignment="1">
      <alignment horizontal="center"/>
    </xf>
    <xf numFmtId="166" fontId="0" fillId="0" borderId="10" xfId="0" applyNumberFormat="1" applyBorder="1" applyAlignment="1">
      <alignment horizontal="center"/>
    </xf>
    <xf numFmtId="0" fontId="0" fillId="0" borderId="0" xfId="0" applyAlignment="1">
      <alignment horizontal="left"/>
    </xf>
    <xf numFmtId="1" fontId="0" fillId="0" borderId="1" xfId="0" applyNumberFormat="1" applyBorder="1" applyAlignment="1">
      <alignment horizontal="center"/>
    </xf>
    <xf numFmtId="0" fontId="5" fillId="0" borderId="0" xfId="0" applyFont="1"/>
    <xf numFmtId="2" fontId="0" fillId="0" borderId="3" xfId="0" applyNumberFormat="1" applyBorder="1" applyAlignment="1">
      <alignment horizontal="right"/>
    </xf>
    <xf numFmtId="9" fontId="0" fillId="0" borderId="4" xfId="1" applyFont="1" applyBorder="1"/>
    <xf numFmtId="167" fontId="0" fillId="0" borderId="5" xfId="1" applyNumberFormat="1" applyFont="1" applyBorder="1"/>
    <xf numFmtId="0" fontId="3" fillId="0" borderId="0" xfId="0" applyFont="1"/>
    <xf numFmtId="0" fontId="6" fillId="0" borderId="0" xfId="0" applyFont="1"/>
    <xf numFmtId="0" fontId="7" fillId="0" borderId="0" xfId="0" applyFont="1"/>
    <xf numFmtId="0" fontId="0" fillId="0" borderId="10" xfId="0" applyBorder="1" applyAlignment="1">
      <alignment horizontal="center"/>
    </xf>
    <xf numFmtId="166" fontId="0" fillId="0" borderId="0" xfId="0" applyNumberFormat="1" applyAlignment="1">
      <alignment horizontal="center"/>
    </xf>
    <xf numFmtId="0" fontId="9" fillId="0" borderId="0" xfId="0" applyFont="1"/>
    <xf numFmtId="2" fontId="0" fillId="4" borderId="10" xfId="0" applyNumberFormat="1" applyFill="1" applyBorder="1" applyAlignment="1">
      <alignment horizontal="center"/>
    </xf>
    <xf numFmtId="168" fontId="0" fillId="0" borderId="0" xfId="2" applyNumberFormat="1" applyFont="1"/>
    <xf numFmtId="168" fontId="0" fillId="0" borderId="0" xfId="0" applyNumberFormat="1"/>
    <xf numFmtId="2" fontId="0" fillId="0" borderId="0" xfId="0" quotePrefix="1" applyNumberFormat="1"/>
    <xf numFmtId="0" fontId="0" fillId="0" borderId="0" xfId="0" quotePrefix="1"/>
    <xf numFmtId="0" fontId="10" fillId="0" borderId="10" xfId="0" applyFont="1" applyBorder="1" applyAlignment="1">
      <alignment horizontal="center"/>
    </xf>
    <xf numFmtId="0" fontId="11" fillId="0" borderId="0" xfId="0" applyFont="1"/>
    <xf numFmtId="0" fontId="12" fillId="0" borderId="0" xfId="0" applyFont="1"/>
    <xf numFmtId="2" fontId="0" fillId="0" borderId="3" xfId="0" applyNumberFormat="1" applyBorder="1"/>
    <xf numFmtId="2" fontId="0" fillId="0" borderId="5" xfId="0" applyNumberFormat="1" applyBorder="1"/>
    <xf numFmtId="0" fontId="0" fillId="0" borderId="10" xfId="0" applyBorder="1"/>
    <xf numFmtId="166" fontId="0" fillId="0" borderId="0" xfId="0" applyNumberFormat="1"/>
    <xf numFmtId="166" fontId="13" fillId="0" borderId="10" xfId="0" applyNumberFormat="1" applyFont="1" applyBorder="1" applyAlignment="1">
      <alignment horizontal="center"/>
    </xf>
    <xf numFmtId="1" fontId="13" fillId="0" borderId="10" xfId="0" applyNumberFormat="1" applyFont="1" applyBorder="1" applyAlignment="1">
      <alignment horizontal="center"/>
    </xf>
    <xf numFmtId="0" fontId="12" fillId="0" borderId="0" xfId="0" applyFont="1" applyAlignment="1">
      <alignment horizontal="center"/>
    </xf>
    <xf numFmtId="9" fontId="0" fillId="0" borderId="10" xfId="1" applyFont="1" applyBorder="1" applyAlignment="1">
      <alignment horizontal="center"/>
    </xf>
    <xf numFmtId="0" fontId="8" fillId="0" borderId="10" xfId="0" applyFont="1" applyBorder="1"/>
    <xf numFmtId="0" fontId="6" fillId="0" borderId="0" xfId="0" applyFont="1" applyAlignment="1">
      <alignment horizontal="right"/>
    </xf>
    <xf numFmtId="0" fontId="14" fillId="0" borderId="10" xfId="0" applyFont="1" applyBorder="1"/>
    <xf numFmtId="168" fontId="14" fillId="0" borderId="10" xfId="2" applyNumberFormat="1" applyFont="1" applyBorder="1"/>
    <xf numFmtId="167" fontId="14" fillId="0" borderId="10" xfId="1" applyNumberFormat="1" applyFont="1" applyBorder="1"/>
    <xf numFmtId="1" fontId="15" fillId="0" borderId="10" xfId="0" applyNumberFormat="1" applyFont="1" applyBorder="1" applyAlignment="1">
      <alignment horizontal="center"/>
    </xf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hu-HU">
                <a:solidFill>
                  <a:sysClr val="windowText" lastClr="000000"/>
                </a:solidFill>
              </a:rPr>
              <a:t>Készlet</a:t>
            </a:r>
            <a:r>
              <a:rPr lang="hu-HU" baseline="0">
                <a:solidFill>
                  <a:sysClr val="windowText" lastClr="000000"/>
                </a:solidFill>
              </a:rPr>
              <a:t> elérhetőség 1000 kísérlet alapján</a:t>
            </a:r>
            <a:endParaRPr lang="hu-HU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hu-H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noFill/>
              </a:ln>
              <a:effectLst/>
            </c:spPr>
          </c:marker>
          <c:yVal>
            <c:numRef>
              <c:f>dashboard!$J$5:$J$1004</c:f>
              <c:numCache>
                <c:formatCode>0</c:formatCode>
                <c:ptCount val="1000"/>
                <c:pt idx="0">
                  <c:v>55.297684069519079</c:v>
                </c:pt>
                <c:pt idx="1">
                  <c:v>19.73780967559577</c:v>
                </c:pt>
                <c:pt idx="2">
                  <c:v>19.01730348242863</c:v>
                </c:pt>
                <c:pt idx="3">
                  <c:v>14.324235770511407</c:v>
                </c:pt>
                <c:pt idx="4">
                  <c:v>9.9234639836878387</c:v>
                </c:pt>
                <c:pt idx="5">
                  <c:v>15.137412298551453</c:v>
                </c:pt>
                <c:pt idx="6">
                  <c:v>2.4440401169496226</c:v>
                </c:pt>
                <c:pt idx="7">
                  <c:v>6.8959282620244267</c:v>
                </c:pt>
                <c:pt idx="8">
                  <c:v>21.203680688402869</c:v>
                </c:pt>
                <c:pt idx="9">
                  <c:v>19.4952122689525</c:v>
                </c:pt>
                <c:pt idx="10">
                  <c:v>26.425625807453571</c:v>
                </c:pt>
                <c:pt idx="11">
                  <c:v>17.097169058311096</c:v>
                </c:pt>
                <c:pt idx="12">
                  <c:v>17.486463014815484</c:v>
                </c:pt>
                <c:pt idx="13">
                  <c:v>16.282101908645785</c:v>
                </c:pt>
                <c:pt idx="14">
                  <c:v>0.46413191444784729</c:v>
                </c:pt>
                <c:pt idx="15">
                  <c:v>25.942492734306015</c:v>
                </c:pt>
                <c:pt idx="16">
                  <c:v>23.118986650083315</c:v>
                </c:pt>
                <c:pt idx="17">
                  <c:v>29.645531306048156</c:v>
                </c:pt>
                <c:pt idx="18">
                  <c:v>5.2748039174900612</c:v>
                </c:pt>
                <c:pt idx="19">
                  <c:v>19.905256830239296</c:v>
                </c:pt>
                <c:pt idx="20">
                  <c:v>35.627344848775522</c:v>
                </c:pt>
                <c:pt idx="21">
                  <c:v>33.035153867833799</c:v>
                </c:pt>
                <c:pt idx="22">
                  <c:v>38.980705025578359</c:v>
                </c:pt>
                <c:pt idx="23">
                  <c:v>44.390288469671674</c:v>
                </c:pt>
                <c:pt idx="24">
                  <c:v>11.505559148876614</c:v>
                </c:pt>
                <c:pt idx="25">
                  <c:v>19.963196586666157</c:v>
                </c:pt>
                <c:pt idx="26">
                  <c:v>18.353993868599204</c:v>
                </c:pt>
                <c:pt idx="27">
                  <c:v>10.537558210754383</c:v>
                </c:pt>
                <c:pt idx="28">
                  <c:v>15.843394284637867</c:v>
                </c:pt>
                <c:pt idx="29">
                  <c:v>49.294384564389716</c:v>
                </c:pt>
                <c:pt idx="30">
                  <c:v>4.11346451671875</c:v>
                </c:pt>
                <c:pt idx="31">
                  <c:v>28.289095725810668</c:v>
                </c:pt>
                <c:pt idx="32">
                  <c:v>13.805227164952868</c:v>
                </c:pt>
                <c:pt idx="33">
                  <c:v>16.020385039629645</c:v>
                </c:pt>
                <c:pt idx="34">
                  <c:v>20.609490439689978</c:v>
                </c:pt>
                <c:pt idx="35">
                  <c:v>-19.940051146906001</c:v>
                </c:pt>
                <c:pt idx="36">
                  <c:v>23.315659060161337</c:v>
                </c:pt>
                <c:pt idx="37">
                  <c:v>17.442299116554523</c:v>
                </c:pt>
                <c:pt idx="38">
                  <c:v>9.3347218856642087</c:v>
                </c:pt>
                <c:pt idx="39">
                  <c:v>25.74822100387118</c:v>
                </c:pt>
                <c:pt idx="40">
                  <c:v>25.202460053130608</c:v>
                </c:pt>
                <c:pt idx="41">
                  <c:v>21.104636222438558</c:v>
                </c:pt>
                <c:pt idx="42">
                  <c:v>12.614092210575308</c:v>
                </c:pt>
                <c:pt idx="43">
                  <c:v>39.057648278716073</c:v>
                </c:pt>
                <c:pt idx="44">
                  <c:v>28.930847901595726</c:v>
                </c:pt>
                <c:pt idx="45">
                  <c:v>0.34422345976952329</c:v>
                </c:pt>
                <c:pt idx="46">
                  <c:v>23.528308195306494</c:v>
                </c:pt>
                <c:pt idx="47">
                  <c:v>22.566746169881142</c:v>
                </c:pt>
                <c:pt idx="48">
                  <c:v>-8.1762272337250295</c:v>
                </c:pt>
                <c:pt idx="49">
                  <c:v>6.0984854500944152E-2</c:v>
                </c:pt>
                <c:pt idx="50">
                  <c:v>2.1632351792599422</c:v>
                </c:pt>
                <c:pt idx="51">
                  <c:v>4.6006794088176264</c:v>
                </c:pt>
                <c:pt idx="52">
                  <c:v>10.866290366434924</c:v>
                </c:pt>
                <c:pt idx="53">
                  <c:v>41.96329293386313</c:v>
                </c:pt>
                <c:pt idx="54">
                  <c:v>23.263032248961707</c:v>
                </c:pt>
                <c:pt idx="55">
                  <c:v>3.5262949474005154</c:v>
                </c:pt>
                <c:pt idx="56">
                  <c:v>8.184155398274271</c:v>
                </c:pt>
                <c:pt idx="57">
                  <c:v>8.26487381853687</c:v>
                </c:pt>
                <c:pt idx="58">
                  <c:v>-24.645452896322951</c:v>
                </c:pt>
                <c:pt idx="59">
                  <c:v>0.49548317419893806</c:v>
                </c:pt>
                <c:pt idx="60">
                  <c:v>3.6392731485406102</c:v>
                </c:pt>
                <c:pt idx="61">
                  <c:v>-8.5160583931971701</c:v>
                </c:pt>
                <c:pt idx="62">
                  <c:v>-3.2629351244082443</c:v>
                </c:pt>
                <c:pt idx="63">
                  <c:v>6.2094422199667179</c:v>
                </c:pt>
                <c:pt idx="64">
                  <c:v>26.115134389146107</c:v>
                </c:pt>
                <c:pt idx="65">
                  <c:v>-5.637209371339182</c:v>
                </c:pt>
                <c:pt idx="66">
                  <c:v>19.364485200710604</c:v>
                </c:pt>
                <c:pt idx="67">
                  <c:v>-16.701571536417745</c:v>
                </c:pt>
                <c:pt idx="68">
                  <c:v>-14.943099369801672</c:v>
                </c:pt>
                <c:pt idx="69">
                  <c:v>13.530261627365888</c:v>
                </c:pt>
                <c:pt idx="70">
                  <c:v>23.519557297853055</c:v>
                </c:pt>
                <c:pt idx="71">
                  <c:v>27.509925622312636</c:v>
                </c:pt>
                <c:pt idx="72">
                  <c:v>8.2632140266800889</c:v>
                </c:pt>
                <c:pt idx="73">
                  <c:v>-19.801130518715354</c:v>
                </c:pt>
                <c:pt idx="74">
                  <c:v>-0.6316174917170656</c:v>
                </c:pt>
                <c:pt idx="75">
                  <c:v>2.8707946997469378</c:v>
                </c:pt>
                <c:pt idx="76">
                  <c:v>11.461563394207673</c:v>
                </c:pt>
                <c:pt idx="77">
                  <c:v>38.160837775766367</c:v>
                </c:pt>
                <c:pt idx="78">
                  <c:v>23.035229297031776</c:v>
                </c:pt>
                <c:pt idx="79">
                  <c:v>4.2793380652178854</c:v>
                </c:pt>
                <c:pt idx="80">
                  <c:v>23.365594973663349</c:v>
                </c:pt>
                <c:pt idx="81">
                  <c:v>1.2872322629899173</c:v>
                </c:pt>
                <c:pt idx="82">
                  <c:v>21.350452622376096</c:v>
                </c:pt>
                <c:pt idx="83">
                  <c:v>-20.610965999066764</c:v>
                </c:pt>
                <c:pt idx="84">
                  <c:v>19.408478074534884</c:v>
                </c:pt>
                <c:pt idx="85">
                  <c:v>-10.033156506113002</c:v>
                </c:pt>
                <c:pt idx="86">
                  <c:v>-6.7997409519254575</c:v>
                </c:pt>
                <c:pt idx="87">
                  <c:v>7.0985122954115809</c:v>
                </c:pt>
                <c:pt idx="88">
                  <c:v>26.407171023203261</c:v>
                </c:pt>
                <c:pt idx="89">
                  <c:v>0.55039700105362499</c:v>
                </c:pt>
                <c:pt idx="90">
                  <c:v>8.6898548976769234</c:v>
                </c:pt>
                <c:pt idx="91">
                  <c:v>27.327868713651611</c:v>
                </c:pt>
                <c:pt idx="92">
                  <c:v>11.59098637767093</c:v>
                </c:pt>
                <c:pt idx="93">
                  <c:v>40.599722931407086</c:v>
                </c:pt>
                <c:pt idx="94">
                  <c:v>11.847160197037354</c:v>
                </c:pt>
                <c:pt idx="95">
                  <c:v>40.406426886886806</c:v>
                </c:pt>
                <c:pt idx="96">
                  <c:v>18.805108567855257</c:v>
                </c:pt>
                <c:pt idx="97">
                  <c:v>50.812254264703299</c:v>
                </c:pt>
                <c:pt idx="98">
                  <c:v>33.734633399393687</c:v>
                </c:pt>
                <c:pt idx="99">
                  <c:v>33.166893271312517</c:v>
                </c:pt>
                <c:pt idx="100">
                  <c:v>16.530133686747945</c:v>
                </c:pt>
                <c:pt idx="101">
                  <c:v>27.96031448434195</c:v>
                </c:pt>
                <c:pt idx="102">
                  <c:v>-5.1048094117485618</c:v>
                </c:pt>
                <c:pt idx="103">
                  <c:v>14.338432955861975</c:v>
                </c:pt>
                <c:pt idx="104">
                  <c:v>-11.70518654364659</c:v>
                </c:pt>
                <c:pt idx="105">
                  <c:v>29.883222697060575</c:v>
                </c:pt>
                <c:pt idx="106">
                  <c:v>-19.861922378414945</c:v>
                </c:pt>
                <c:pt idx="107">
                  <c:v>7.8734991492955828</c:v>
                </c:pt>
                <c:pt idx="108">
                  <c:v>10.987143315701474</c:v>
                </c:pt>
                <c:pt idx="109">
                  <c:v>8.9762065675298572</c:v>
                </c:pt>
                <c:pt idx="110">
                  <c:v>-15.526980535955303</c:v>
                </c:pt>
                <c:pt idx="111">
                  <c:v>12.718186868604633</c:v>
                </c:pt>
                <c:pt idx="112">
                  <c:v>10.290950998621781</c:v>
                </c:pt>
                <c:pt idx="113">
                  <c:v>20.130238044436325</c:v>
                </c:pt>
                <c:pt idx="114">
                  <c:v>3.1368438327529589</c:v>
                </c:pt>
                <c:pt idx="115">
                  <c:v>8.4581470586548733</c:v>
                </c:pt>
                <c:pt idx="116">
                  <c:v>-4.6521236015045702</c:v>
                </c:pt>
                <c:pt idx="117">
                  <c:v>-1.7770401137541825</c:v>
                </c:pt>
                <c:pt idx="118">
                  <c:v>-16.267953488276476</c:v>
                </c:pt>
                <c:pt idx="119">
                  <c:v>8.7446331426627211</c:v>
                </c:pt>
                <c:pt idx="120">
                  <c:v>5.2341867504252235</c:v>
                </c:pt>
                <c:pt idx="121">
                  <c:v>12.944297140933628</c:v>
                </c:pt>
                <c:pt idx="122">
                  <c:v>23.686827527583176</c:v>
                </c:pt>
                <c:pt idx="123">
                  <c:v>20.625728049748659</c:v>
                </c:pt>
                <c:pt idx="124">
                  <c:v>-16.175098130052163</c:v>
                </c:pt>
                <c:pt idx="125">
                  <c:v>21.089343541675561</c:v>
                </c:pt>
                <c:pt idx="126">
                  <c:v>28.892947364841064</c:v>
                </c:pt>
                <c:pt idx="127">
                  <c:v>15.260861199440683</c:v>
                </c:pt>
                <c:pt idx="128">
                  <c:v>9.0504096627059596</c:v>
                </c:pt>
                <c:pt idx="129">
                  <c:v>18.868361073423131</c:v>
                </c:pt>
                <c:pt idx="130">
                  <c:v>9.35896335367228</c:v>
                </c:pt>
                <c:pt idx="131">
                  <c:v>18.055566598123008</c:v>
                </c:pt>
                <c:pt idx="132">
                  <c:v>-11.601427055925683</c:v>
                </c:pt>
                <c:pt idx="133">
                  <c:v>-7.83571781474717</c:v>
                </c:pt>
                <c:pt idx="134">
                  <c:v>-0.78152152128765806</c:v>
                </c:pt>
                <c:pt idx="135">
                  <c:v>39.190951037589244</c:v>
                </c:pt>
                <c:pt idx="136">
                  <c:v>2.8160789979484946</c:v>
                </c:pt>
                <c:pt idx="137">
                  <c:v>31.448881103400709</c:v>
                </c:pt>
                <c:pt idx="138">
                  <c:v>16.761983135319099</c:v>
                </c:pt>
                <c:pt idx="139">
                  <c:v>6.2888939792189547</c:v>
                </c:pt>
                <c:pt idx="140">
                  <c:v>-2.5636603863725611</c:v>
                </c:pt>
                <c:pt idx="141">
                  <c:v>8.2902659186546543</c:v>
                </c:pt>
                <c:pt idx="142">
                  <c:v>15.92772128741575</c:v>
                </c:pt>
                <c:pt idx="143">
                  <c:v>14.219427942942815</c:v>
                </c:pt>
                <c:pt idx="144">
                  <c:v>-5.8583059929901253</c:v>
                </c:pt>
                <c:pt idx="145">
                  <c:v>28.54051601672397</c:v>
                </c:pt>
                <c:pt idx="146">
                  <c:v>-18.912197449847326</c:v>
                </c:pt>
                <c:pt idx="147">
                  <c:v>18.556204993674584</c:v>
                </c:pt>
                <c:pt idx="148">
                  <c:v>8.8275782106409224</c:v>
                </c:pt>
                <c:pt idx="149">
                  <c:v>-7.422096976900491</c:v>
                </c:pt>
                <c:pt idx="150">
                  <c:v>33.248955780302182</c:v>
                </c:pt>
                <c:pt idx="151">
                  <c:v>-4.2886420952700917</c:v>
                </c:pt>
                <c:pt idx="152">
                  <c:v>-5.6142926582172379</c:v>
                </c:pt>
                <c:pt idx="153">
                  <c:v>24.944355487541571</c:v>
                </c:pt>
                <c:pt idx="154">
                  <c:v>26.65290059006611</c:v>
                </c:pt>
                <c:pt idx="155">
                  <c:v>4.4414778096933247</c:v>
                </c:pt>
                <c:pt idx="156">
                  <c:v>14.481843618397363</c:v>
                </c:pt>
                <c:pt idx="157">
                  <c:v>1.4025942270898497</c:v>
                </c:pt>
                <c:pt idx="158">
                  <c:v>38.441639292883025</c:v>
                </c:pt>
                <c:pt idx="159">
                  <c:v>30.756104597450488</c:v>
                </c:pt>
                <c:pt idx="160">
                  <c:v>7.1725695837528178</c:v>
                </c:pt>
                <c:pt idx="161">
                  <c:v>30.567756574722551</c:v>
                </c:pt>
                <c:pt idx="162">
                  <c:v>-1.6770766811410169</c:v>
                </c:pt>
                <c:pt idx="163">
                  <c:v>20.949526126336394</c:v>
                </c:pt>
                <c:pt idx="164">
                  <c:v>16.053489810416892</c:v>
                </c:pt>
                <c:pt idx="165">
                  <c:v>-1.6951921008406003</c:v>
                </c:pt>
                <c:pt idx="166">
                  <c:v>25.227480535729541</c:v>
                </c:pt>
                <c:pt idx="167">
                  <c:v>22.609047165912273</c:v>
                </c:pt>
                <c:pt idx="168">
                  <c:v>40.840318395366708</c:v>
                </c:pt>
                <c:pt idx="169">
                  <c:v>-3.0968828352264239</c:v>
                </c:pt>
                <c:pt idx="170">
                  <c:v>-0.39665261959689246</c:v>
                </c:pt>
                <c:pt idx="171">
                  <c:v>2.627631629371848</c:v>
                </c:pt>
                <c:pt idx="172">
                  <c:v>8.7739930166776219</c:v>
                </c:pt>
                <c:pt idx="173">
                  <c:v>1.3064662651144801</c:v>
                </c:pt>
                <c:pt idx="174">
                  <c:v>-8.9791024860722928</c:v>
                </c:pt>
                <c:pt idx="175">
                  <c:v>4.1316003589908235</c:v>
                </c:pt>
                <c:pt idx="176">
                  <c:v>-24.991511925457189</c:v>
                </c:pt>
                <c:pt idx="177">
                  <c:v>-19.64407795110391</c:v>
                </c:pt>
                <c:pt idx="178">
                  <c:v>9.5063208669120058</c:v>
                </c:pt>
                <c:pt idx="179">
                  <c:v>25.407255913452431</c:v>
                </c:pt>
                <c:pt idx="180">
                  <c:v>14.703378949556978</c:v>
                </c:pt>
                <c:pt idx="181">
                  <c:v>8.4431418775892269</c:v>
                </c:pt>
                <c:pt idx="182">
                  <c:v>-0.40703413854851078</c:v>
                </c:pt>
                <c:pt idx="183">
                  <c:v>-0.39290597650975201</c:v>
                </c:pt>
                <c:pt idx="184">
                  <c:v>2.4973320774172407</c:v>
                </c:pt>
                <c:pt idx="185">
                  <c:v>18.022560238483351</c:v>
                </c:pt>
                <c:pt idx="186">
                  <c:v>2.3599204000520615</c:v>
                </c:pt>
                <c:pt idx="187">
                  <c:v>-2.9138349510690205</c:v>
                </c:pt>
                <c:pt idx="188">
                  <c:v>8.3926198575036892</c:v>
                </c:pt>
                <c:pt idx="189">
                  <c:v>16.99718084011306</c:v>
                </c:pt>
                <c:pt idx="190">
                  <c:v>16.547000874568056</c:v>
                </c:pt>
                <c:pt idx="191">
                  <c:v>4.6438890311707297</c:v>
                </c:pt>
                <c:pt idx="192">
                  <c:v>38.734950375681336</c:v>
                </c:pt>
                <c:pt idx="193">
                  <c:v>14.635945957827374</c:v>
                </c:pt>
                <c:pt idx="194">
                  <c:v>10.910396090311636</c:v>
                </c:pt>
                <c:pt idx="195">
                  <c:v>11.01201264795688</c:v>
                </c:pt>
                <c:pt idx="196">
                  <c:v>8.0633258529839793</c:v>
                </c:pt>
                <c:pt idx="197">
                  <c:v>12.40984470156954</c:v>
                </c:pt>
                <c:pt idx="198">
                  <c:v>17.030536303368791</c:v>
                </c:pt>
                <c:pt idx="199">
                  <c:v>30.937208617708109</c:v>
                </c:pt>
                <c:pt idx="200">
                  <c:v>22.811445762064636</c:v>
                </c:pt>
                <c:pt idx="201">
                  <c:v>-8.7611358089790485</c:v>
                </c:pt>
                <c:pt idx="202">
                  <c:v>0.89804694909435057</c:v>
                </c:pt>
                <c:pt idx="203">
                  <c:v>1.8654390819182822</c:v>
                </c:pt>
                <c:pt idx="204">
                  <c:v>34.465870620217572</c:v>
                </c:pt>
                <c:pt idx="205">
                  <c:v>24.089764840380724</c:v>
                </c:pt>
                <c:pt idx="206">
                  <c:v>10.65227419831723</c:v>
                </c:pt>
                <c:pt idx="207">
                  <c:v>42.949586653372435</c:v>
                </c:pt>
                <c:pt idx="208">
                  <c:v>-11.177329291033374</c:v>
                </c:pt>
                <c:pt idx="209">
                  <c:v>32.002565804242934</c:v>
                </c:pt>
                <c:pt idx="210">
                  <c:v>2.49857903096256</c:v>
                </c:pt>
                <c:pt idx="211">
                  <c:v>21.160335408745539</c:v>
                </c:pt>
                <c:pt idx="212">
                  <c:v>-4.1108384129484534</c:v>
                </c:pt>
                <c:pt idx="213">
                  <c:v>13.232985752271048</c:v>
                </c:pt>
                <c:pt idx="214">
                  <c:v>42.1638994545728</c:v>
                </c:pt>
                <c:pt idx="215">
                  <c:v>-3.8774805813451678</c:v>
                </c:pt>
                <c:pt idx="216">
                  <c:v>10.631505034674234</c:v>
                </c:pt>
                <c:pt idx="217">
                  <c:v>-11.898926507919356</c:v>
                </c:pt>
                <c:pt idx="218">
                  <c:v>19.316088236458853</c:v>
                </c:pt>
                <c:pt idx="219">
                  <c:v>33.580051874815297</c:v>
                </c:pt>
                <c:pt idx="220">
                  <c:v>18.513150794830466</c:v>
                </c:pt>
                <c:pt idx="221">
                  <c:v>13.230819527644044</c:v>
                </c:pt>
                <c:pt idx="222">
                  <c:v>15.023081453503906</c:v>
                </c:pt>
                <c:pt idx="223">
                  <c:v>1.2195682904253147</c:v>
                </c:pt>
                <c:pt idx="224">
                  <c:v>19.020637201667398</c:v>
                </c:pt>
                <c:pt idx="225">
                  <c:v>35.550011744470453</c:v>
                </c:pt>
                <c:pt idx="226">
                  <c:v>2.2253989832531431</c:v>
                </c:pt>
                <c:pt idx="227">
                  <c:v>14.850185710865077</c:v>
                </c:pt>
                <c:pt idx="228">
                  <c:v>32.979514468410031</c:v>
                </c:pt>
                <c:pt idx="229">
                  <c:v>36.976650771881623</c:v>
                </c:pt>
                <c:pt idx="230">
                  <c:v>28.004022283718641</c:v>
                </c:pt>
                <c:pt idx="231">
                  <c:v>-0.19176375875974827</c:v>
                </c:pt>
                <c:pt idx="232">
                  <c:v>40.446488787400114</c:v>
                </c:pt>
                <c:pt idx="233">
                  <c:v>15.015922375806468</c:v>
                </c:pt>
                <c:pt idx="234">
                  <c:v>16.932271263582251</c:v>
                </c:pt>
                <c:pt idx="235">
                  <c:v>23.135779449382014</c:v>
                </c:pt>
                <c:pt idx="236">
                  <c:v>3.5676471887451982</c:v>
                </c:pt>
                <c:pt idx="237">
                  <c:v>15.76831632492086</c:v>
                </c:pt>
                <c:pt idx="238">
                  <c:v>-14.45716947622364</c:v>
                </c:pt>
                <c:pt idx="239">
                  <c:v>28.32931469210989</c:v>
                </c:pt>
                <c:pt idx="240">
                  <c:v>-4.2467727275796676</c:v>
                </c:pt>
                <c:pt idx="241">
                  <c:v>7.9576347296162453</c:v>
                </c:pt>
                <c:pt idx="242">
                  <c:v>3.6581805990967666</c:v>
                </c:pt>
                <c:pt idx="243">
                  <c:v>54.357583436014139</c:v>
                </c:pt>
                <c:pt idx="244">
                  <c:v>33.833720325973289</c:v>
                </c:pt>
                <c:pt idx="245">
                  <c:v>20.605510327570983</c:v>
                </c:pt>
                <c:pt idx="246">
                  <c:v>3.7231507274729267</c:v>
                </c:pt>
                <c:pt idx="247">
                  <c:v>15.564516273685996</c:v>
                </c:pt>
                <c:pt idx="248">
                  <c:v>21.849099058440174</c:v>
                </c:pt>
                <c:pt idx="249">
                  <c:v>24.822660219883204</c:v>
                </c:pt>
                <c:pt idx="250">
                  <c:v>2.5390778360678468</c:v>
                </c:pt>
                <c:pt idx="251">
                  <c:v>31.681738352522913</c:v>
                </c:pt>
                <c:pt idx="252">
                  <c:v>40.099323086902359</c:v>
                </c:pt>
                <c:pt idx="253">
                  <c:v>14.01868480981534</c:v>
                </c:pt>
                <c:pt idx="254">
                  <c:v>-0.40469512860275358</c:v>
                </c:pt>
                <c:pt idx="255">
                  <c:v>11.061966137734061</c:v>
                </c:pt>
                <c:pt idx="256">
                  <c:v>24.549009255273518</c:v>
                </c:pt>
                <c:pt idx="257">
                  <c:v>46.366250131992985</c:v>
                </c:pt>
                <c:pt idx="258">
                  <c:v>8.8249214375415761</c:v>
                </c:pt>
                <c:pt idx="259">
                  <c:v>21.456108706203977</c:v>
                </c:pt>
                <c:pt idx="260">
                  <c:v>18.846767264897849</c:v>
                </c:pt>
                <c:pt idx="261">
                  <c:v>9.5124372617201942</c:v>
                </c:pt>
                <c:pt idx="262">
                  <c:v>14.818618088958985</c:v>
                </c:pt>
                <c:pt idx="263">
                  <c:v>8.2832403442767202</c:v>
                </c:pt>
                <c:pt idx="264">
                  <c:v>2.3542587311728909</c:v>
                </c:pt>
                <c:pt idx="265">
                  <c:v>29.619109964140975</c:v>
                </c:pt>
                <c:pt idx="266">
                  <c:v>11.863050726153944</c:v>
                </c:pt>
                <c:pt idx="267">
                  <c:v>6.9554847482630038</c:v>
                </c:pt>
                <c:pt idx="268">
                  <c:v>6.0942203263099231</c:v>
                </c:pt>
                <c:pt idx="269">
                  <c:v>11.228929486445935</c:v>
                </c:pt>
                <c:pt idx="270">
                  <c:v>27.191354961894348</c:v>
                </c:pt>
                <c:pt idx="271">
                  <c:v>25.959462371228113</c:v>
                </c:pt>
                <c:pt idx="272">
                  <c:v>-6.5508893661206287</c:v>
                </c:pt>
                <c:pt idx="273">
                  <c:v>-6.6691542320852477</c:v>
                </c:pt>
                <c:pt idx="274">
                  <c:v>22.414986848130141</c:v>
                </c:pt>
                <c:pt idx="275">
                  <c:v>36.315644427924397</c:v>
                </c:pt>
                <c:pt idx="276">
                  <c:v>28.394550252310779</c:v>
                </c:pt>
                <c:pt idx="277">
                  <c:v>23.047840284143049</c:v>
                </c:pt>
                <c:pt idx="278">
                  <c:v>21.77800119237925</c:v>
                </c:pt>
                <c:pt idx="279">
                  <c:v>-13.265891503781575</c:v>
                </c:pt>
                <c:pt idx="280">
                  <c:v>8.7505148858655559</c:v>
                </c:pt>
                <c:pt idx="281">
                  <c:v>18.604348713834128</c:v>
                </c:pt>
                <c:pt idx="282">
                  <c:v>10.736354493653494</c:v>
                </c:pt>
                <c:pt idx="283">
                  <c:v>10.489956339512503</c:v>
                </c:pt>
                <c:pt idx="284">
                  <c:v>14.621505795313681</c:v>
                </c:pt>
                <c:pt idx="285">
                  <c:v>29.942895430557087</c:v>
                </c:pt>
                <c:pt idx="286">
                  <c:v>10.368470135344197</c:v>
                </c:pt>
                <c:pt idx="287">
                  <c:v>45.055768424842739</c:v>
                </c:pt>
                <c:pt idx="288">
                  <c:v>8.2489737729906665</c:v>
                </c:pt>
                <c:pt idx="289">
                  <c:v>29.320573939316645</c:v>
                </c:pt>
                <c:pt idx="290">
                  <c:v>0.66067638963025388</c:v>
                </c:pt>
                <c:pt idx="291">
                  <c:v>35.07830145340651</c:v>
                </c:pt>
                <c:pt idx="292">
                  <c:v>3.6066756764797816</c:v>
                </c:pt>
                <c:pt idx="293">
                  <c:v>44.446422020641549</c:v>
                </c:pt>
                <c:pt idx="294">
                  <c:v>11.830129346421515</c:v>
                </c:pt>
                <c:pt idx="295">
                  <c:v>10.130161091646443</c:v>
                </c:pt>
                <c:pt idx="296">
                  <c:v>13.395706529530031</c:v>
                </c:pt>
                <c:pt idx="297">
                  <c:v>0.33974429776918669</c:v>
                </c:pt>
                <c:pt idx="298">
                  <c:v>-8.1913500498560268</c:v>
                </c:pt>
                <c:pt idx="299">
                  <c:v>16.760148765547228</c:v>
                </c:pt>
                <c:pt idx="300">
                  <c:v>31.605164156627183</c:v>
                </c:pt>
                <c:pt idx="301">
                  <c:v>43.304416788705453</c:v>
                </c:pt>
                <c:pt idx="302">
                  <c:v>4.117733090697385</c:v>
                </c:pt>
                <c:pt idx="303">
                  <c:v>10.483918286134141</c:v>
                </c:pt>
                <c:pt idx="304">
                  <c:v>33.76883531735696</c:v>
                </c:pt>
                <c:pt idx="305">
                  <c:v>-17.05236240412836</c:v>
                </c:pt>
                <c:pt idx="306">
                  <c:v>3.2362229268891838</c:v>
                </c:pt>
                <c:pt idx="307">
                  <c:v>3.4642110068394629</c:v>
                </c:pt>
                <c:pt idx="308">
                  <c:v>28.501081497752523</c:v>
                </c:pt>
                <c:pt idx="309">
                  <c:v>19.126285935046354</c:v>
                </c:pt>
                <c:pt idx="310">
                  <c:v>10.351570500471311</c:v>
                </c:pt>
                <c:pt idx="311">
                  <c:v>10.058062849770209</c:v>
                </c:pt>
                <c:pt idx="312">
                  <c:v>7.8644557732353064</c:v>
                </c:pt>
                <c:pt idx="313">
                  <c:v>-2.4792950066621984</c:v>
                </c:pt>
                <c:pt idx="314">
                  <c:v>39.042335019683804</c:v>
                </c:pt>
                <c:pt idx="315">
                  <c:v>26.05444706000759</c:v>
                </c:pt>
                <c:pt idx="316">
                  <c:v>-27.816024967552224</c:v>
                </c:pt>
                <c:pt idx="317">
                  <c:v>28.596876510235148</c:v>
                </c:pt>
                <c:pt idx="318">
                  <c:v>21.603585718948935</c:v>
                </c:pt>
                <c:pt idx="319">
                  <c:v>-2.5905699211249384</c:v>
                </c:pt>
                <c:pt idx="320">
                  <c:v>11.888719024273513</c:v>
                </c:pt>
                <c:pt idx="321">
                  <c:v>20.209117199962634</c:v>
                </c:pt>
                <c:pt idx="322">
                  <c:v>-4.760164302497401</c:v>
                </c:pt>
                <c:pt idx="323">
                  <c:v>-15.857445000316787</c:v>
                </c:pt>
                <c:pt idx="324">
                  <c:v>17.655025371758867</c:v>
                </c:pt>
                <c:pt idx="325">
                  <c:v>51.271872299205654</c:v>
                </c:pt>
                <c:pt idx="326">
                  <c:v>7.9625308879888905</c:v>
                </c:pt>
                <c:pt idx="327">
                  <c:v>-24.316482994575779</c:v>
                </c:pt>
                <c:pt idx="328">
                  <c:v>-6.807849390179868</c:v>
                </c:pt>
                <c:pt idx="329">
                  <c:v>10.874311927831485</c:v>
                </c:pt>
                <c:pt idx="330">
                  <c:v>30.195690633820817</c:v>
                </c:pt>
                <c:pt idx="331">
                  <c:v>42.74633293839878</c:v>
                </c:pt>
                <c:pt idx="332">
                  <c:v>0.22085064869386883</c:v>
                </c:pt>
                <c:pt idx="333">
                  <c:v>21.820583414205529</c:v>
                </c:pt>
                <c:pt idx="334">
                  <c:v>1.1825392819186504</c:v>
                </c:pt>
                <c:pt idx="335">
                  <c:v>15.572636278562669</c:v>
                </c:pt>
                <c:pt idx="336">
                  <c:v>1.7531652758342204</c:v>
                </c:pt>
                <c:pt idx="337">
                  <c:v>32.570642244375719</c:v>
                </c:pt>
                <c:pt idx="338">
                  <c:v>-10.282838136932327</c:v>
                </c:pt>
                <c:pt idx="339">
                  <c:v>28.506645691769293</c:v>
                </c:pt>
                <c:pt idx="340">
                  <c:v>40.304482548525954</c:v>
                </c:pt>
                <c:pt idx="341">
                  <c:v>11.639625959539472</c:v>
                </c:pt>
                <c:pt idx="342">
                  <c:v>27.016859985778979</c:v>
                </c:pt>
                <c:pt idx="343">
                  <c:v>19.974001555838583</c:v>
                </c:pt>
                <c:pt idx="344">
                  <c:v>-20.419455248424384</c:v>
                </c:pt>
                <c:pt idx="345">
                  <c:v>10.720438817502938</c:v>
                </c:pt>
                <c:pt idx="346">
                  <c:v>9.8500357493333013</c:v>
                </c:pt>
                <c:pt idx="347">
                  <c:v>24.764970280986276</c:v>
                </c:pt>
                <c:pt idx="348">
                  <c:v>30.807805429394293</c:v>
                </c:pt>
                <c:pt idx="349">
                  <c:v>-5.4192240316444895</c:v>
                </c:pt>
                <c:pt idx="350">
                  <c:v>17.580494705639239</c:v>
                </c:pt>
                <c:pt idx="351">
                  <c:v>32.350257723645726</c:v>
                </c:pt>
                <c:pt idx="352">
                  <c:v>34.026512499977031</c:v>
                </c:pt>
                <c:pt idx="353">
                  <c:v>-7.0421545010133855</c:v>
                </c:pt>
                <c:pt idx="354">
                  <c:v>21.620564204099495</c:v>
                </c:pt>
                <c:pt idx="355">
                  <c:v>14.050234079899553</c:v>
                </c:pt>
                <c:pt idx="356">
                  <c:v>0.95175195163626825</c:v>
                </c:pt>
                <c:pt idx="357">
                  <c:v>7.1284604965103142</c:v>
                </c:pt>
                <c:pt idx="358">
                  <c:v>8.1416203544042105</c:v>
                </c:pt>
                <c:pt idx="359">
                  <c:v>18.670982514495961</c:v>
                </c:pt>
                <c:pt idx="360">
                  <c:v>3.8219943069968849</c:v>
                </c:pt>
                <c:pt idx="361">
                  <c:v>26.565486414966799</c:v>
                </c:pt>
                <c:pt idx="362">
                  <c:v>-7.1412718443958028</c:v>
                </c:pt>
                <c:pt idx="363">
                  <c:v>7.2666233598669976</c:v>
                </c:pt>
                <c:pt idx="364">
                  <c:v>0.40750135583778047</c:v>
                </c:pt>
                <c:pt idx="365">
                  <c:v>24.602931635134837</c:v>
                </c:pt>
                <c:pt idx="366">
                  <c:v>31.1056435120788</c:v>
                </c:pt>
                <c:pt idx="367">
                  <c:v>26.299607574968007</c:v>
                </c:pt>
                <c:pt idx="368">
                  <c:v>8.5147150176997286</c:v>
                </c:pt>
                <c:pt idx="369">
                  <c:v>48.324033944162863</c:v>
                </c:pt>
                <c:pt idx="370">
                  <c:v>13.77348427869515</c:v>
                </c:pt>
                <c:pt idx="371">
                  <c:v>17.922881412765889</c:v>
                </c:pt>
                <c:pt idx="372">
                  <c:v>16.714070845616774</c:v>
                </c:pt>
                <c:pt idx="373">
                  <c:v>18.565475445425761</c:v>
                </c:pt>
                <c:pt idx="374">
                  <c:v>12.43940922458917</c:v>
                </c:pt>
                <c:pt idx="375">
                  <c:v>27.906625185440674</c:v>
                </c:pt>
                <c:pt idx="376">
                  <c:v>3.0167214783761551</c:v>
                </c:pt>
                <c:pt idx="377">
                  <c:v>29.808286148996331</c:v>
                </c:pt>
                <c:pt idx="378">
                  <c:v>17.298991533428037</c:v>
                </c:pt>
                <c:pt idx="379">
                  <c:v>-8.7240939991544195</c:v>
                </c:pt>
                <c:pt idx="380">
                  <c:v>-4.2177033212703634</c:v>
                </c:pt>
                <c:pt idx="381">
                  <c:v>20.7596908001278</c:v>
                </c:pt>
                <c:pt idx="382">
                  <c:v>-2.8425874155347657</c:v>
                </c:pt>
                <c:pt idx="383">
                  <c:v>20.603749952106909</c:v>
                </c:pt>
                <c:pt idx="384">
                  <c:v>9.1953262989336793</c:v>
                </c:pt>
                <c:pt idx="385">
                  <c:v>5.2315926342985222</c:v>
                </c:pt>
                <c:pt idx="386">
                  <c:v>8.8633030748147803</c:v>
                </c:pt>
                <c:pt idx="387">
                  <c:v>53.786211119826717</c:v>
                </c:pt>
                <c:pt idx="388">
                  <c:v>-0.59739236725602041</c:v>
                </c:pt>
                <c:pt idx="389">
                  <c:v>-5.1591881461747278</c:v>
                </c:pt>
                <c:pt idx="390">
                  <c:v>-4.5792926134401739</c:v>
                </c:pt>
                <c:pt idx="391">
                  <c:v>18.323750835463954</c:v>
                </c:pt>
                <c:pt idx="392">
                  <c:v>6.8871868692551743</c:v>
                </c:pt>
                <c:pt idx="393">
                  <c:v>30.967339707909133</c:v>
                </c:pt>
                <c:pt idx="394">
                  <c:v>34.445533375027424</c:v>
                </c:pt>
                <c:pt idx="395">
                  <c:v>3.9621823557829146</c:v>
                </c:pt>
                <c:pt idx="396">
                  <c:v>21.08636916884285</c:v>
                </c:pt>
                <c:pt idx="397">
                  <c:v>35.259503263595875</c:v>
                </c:pt>
                <c:pt idx="398">
                  <c:v>10.755297863861216</c:v>
                </c:pt>
                <c:pt idx="399">
                  <c:v>1.6900644916958356</c:v>
                </c:pt>
                <c:pt idx="400">
                  <c:v>25.050435604186845</c:v>
                </c:pt>
                <c:pt idx="401">
                  <c:v>-0.71031514682761099</c:v>
                </c:pt>
                <c:pt idx="402">
                  <c:v>23.414173970879773</c:v>
                </c:pt>
                <c:pt idx="403">
                  <c:v>21.225800396726484</c:v>
                </c:pt>
                <c:pt idx="404">
                  <c:v>7.4614379081893674</c:v>
                </c:pt>
                <c:pt idx="405">
                  <c:v>24.031725670011269</c:v>
                </c:pt>
                <c:pt idx="406">
                  <c:v>-14.090929488543537</c:v>
                </c:pt>
                <c:pt idx="407">
                  <c:v>15.845424971416719</c:v>
                </c:pt>
                <c:pt idx="408">
                  <c:v>12.262340206667901</c:v>
                </c:pt>
                <c:pt idx="409">
                  <c:v>34.93061312731183</c:v>
                </c:pt>
                <c:pt idx="410">
                  <c:v>-11.50653341808497</c:v>
                </c:pt>
                <c:pt idx="411">
                  <c:v>9.8210844731547411</c:v>
                </c:pt>
                <c:pt idx="412">
                  <c:v>53.089419989653564</c:v>
                </c:pt>
                <c:pt idx="413">
                  <c:v>-19.705889275011344</c:v>
                </c:pt>
                <c:pt idx="414">
                  <c:v>15.338697133485397</c:v>
                </c:pt>
                <c:pt idx="415">
                  <c:v>11.053611822282079</c:v>
                </c:pt>
                <c:pt idx="416">
                  <c:v>18.726519805842798</c:v>
                </c:pt>
                <c:pt idx="417">
                  <c:v>-9.21449809605447</c:v>
                </c:pt>
                <c:pt idx="418">
                  <c:v>37.502424216005124</c:v>
                </c:pt>
                <c:pt idx="419">
                  <c:v>1.1721004246676472</c:v>
                </c:pt>
                <c:pt idx="420">
                  <c:v>0.62319186364544521</c:v>
                </c:pt>
                <c:pt idx="421">
                  <c:v>-20.139869205757634</c:v>
                </c:pt>
                <c:pt idx="422">
                  <c:v>-3.4271815200997935</c:v>
                </c:pt>
                <c:pt idx="423">
                  <c:v>3.268824969651277</c:v>
                </c:pt>
                <c:pt idx="424">
                  <c:v>24.655477187385415</c:v>
                </c:pt>
                <c:pt idx="425">
                  <c:v>1.13525891519987</c:v>
                </c:pt>
                <c:pt idx="426">
                  <c:v>43.394470644874616</c:v>
                </c:pt>
                <c:pt idx="427">
                  <c:v>33.234762328153039</c:v>
                </c:pt>
                <c:pt idx="428">
                  <c:v>17.440544465342811</c:v>
                </c:pt>
                <c:pt idx="429">
                  <c:v>23.364975060504946</c:v>
                </c:pt>
                <c:pt idx="430">
                  <c:v>4.1519750728626263</c:v>
                </c:pt>
                <c:pt idx="431">
                  <c:v>7.5026138647830436</c:v>
                </c:pt>
                <c:pt idx="432">
                  <c:v>1.8424668766106436</c:v>
                </c:pt>
                <c:pt idx="433">
                  <c:v>36.089126198043047</c:v>
                </c:pt>
                <c:pt idx="434">
                  <c:v>3.3054149939087125</c:v>
                </c:pt>
                <c:pt idx="435">
                  <c:v>25.132558128898452</c:v>
                </c:pt>
                <c:pt idx="436">
                  <c:v>2.8551011510377293</c:v>
                </c:pt>
                <c:pt idx="437">
                  <c:v>24.650228779056079</c:v>
                </c:pt>
                <c:pt idx="438">
                  <c:v>21.879227315803888</c:v>
                </c:pt>
                <c:pt idx="439">
                  <c:v>15.856539086945872</c:v>
                </c:pt>
                <c:pt idx="440">
                  <c:v>13.268728979854643</c:v>
                </c:pt>
                <c:pt idx="441">
                  <c:v>29.415222490291654</c:v>
                </c:pt>
                <c:pt idx="442">
                  <c:v>19.383447644890737</c:v>
                </c:pt>
                <c:pt idx="443">
                  <c:v>23.521523990281764</c:v>
                </c:pt>
                <c:pt idx="444">
                  <c:v>8.5798481439842931</c:v>
                </c:pt>
                <c:pt idx="445">
                  <c:v>16.839823977376881</c:v>
                </c:pt>
                <c:pt idx="446">
                  <c:v>-16.776061089799185</c:v>
                </c:pt>
                <c:pt idx="447">
                  <c:v>24.797146469105925</c:v>
                </c:pt>
                <c:pt idx="448">
                  <c:v>-1.7451534217051972</c:v>
                </c:pt>
                <c:pt idx="449">
                  <c:v>37.766949153391352</c:v>
                </c:pt>
                <c:pt idx="450">
                  <c:v>-5.8803880233039081</c:v>
                </c:pt>
                <c:pt idx="451">
                  <c:v>17.965144908143898</c:v>
                </c:pt>
                <c:pt idx="452">
                  <c:v>12.509150204992778</c:v>
                </c:pt>
                <c:pt idx="453">
                  <c:v>-14.340737923095276</c:v>
                </c:pt>
                <c:pt idx="454">
                  <c:v>36.460483135850779</c:v>
                </c:pt>
                <c:pt idx="455">
                  <c:v>26.589769518337661</c:v>
                </c:pt>
                <c:pt idx="456">
                  <c:v>25.809070480514649</c:v>
                </c:pt>
                <c:pt idx="457">
                  <c:v>-0.6061312407475441</c:v>
                </c:pt>
                <c:pt idx="458">
                  <c:v>15.092268773835329</c:v>
                </c:pt>
                <c:pt idx="459">
                  <c:v>22.297627306094085</c:v>
                </c:pt>
                <c:pt idx="460">
                  <c:v>-1.4543951705191205</c:v>
                </c:pt>
                <c:pt idx="461">
                  <c:v>-12.084768451143503</c:v>
                </c:pt>
                <c:pt idx="462">
                  <c:v>-0.97345417109562504</c:v>
                </c:pt>
                <c:pt idx="463">
                  <c:v>39.319183405314845</c:v>
                </c:pt>
                <c:pt idx="464">
                  <c:v>8.5554901947991056</c:v>
                </c:pt>
                <c:pt idx="465">
                  <c:v>19.46117646796975</c:v>
                </c:pt>
                <c:pt idx="466">
                  <c:v>6.8921988118300135</c:v>
                </c:pt>
                <c:pt idx="467">
                  <c:v>16.295422015823448</c:v>
                </c:pt>
                <c:pt idx="468">
                  <c:v>14.713238907067691</c:v>
                </c:pt>
                <c:pt idx="469">
                  <c:v>20.854082735659091</c:v>
                </c:pt>
                <c:pt idx="470">
                  <c:v>9.3532562385050824</c:v>
                </c:pt>
                <c:pt idx="471">
                  <c:v>-0.4138469409816139</c:v>
                </c:pt>
                <c:pt idx="472">
                  <c:v>2.7380612658738528</c:v>
                </c:pt>
                <c:pt idx="473">
                  <c:v>-1.1729744892151075</c:v>
                </c:pt>
                <c:pt idx="474">
                  <c:v>10.816294070651651</c:v>
                </c:pt>
                <c:pt idx="475">
                  <c:v>14.040994767943658</c:v>
                </c:pt>
                <c:pt idx="476">
                  <c:v>20.912103924263164</c:v>
                </c:pt>
                <c:pt idx="477">
                  <c:v>43.257340465649676</c:v>
                </c:pt>
                <c:pt idx="478">
                  <c:v>26.777655292065063</c:v>
                </c:pt>
                <c:pt idx="479">
                  <c:v>27.097363401950986</c:v>
                </c:pt>
                <c:pt idx="480">
                  <c:v>3.0359296277492547</c:v>
                </c:pt>
                <c:pt idx="481">
                  <c:v>23.18881977523165</c:v>
                </c:pt>
                <c:pt idx="482">
                  <c:v>1.6474024481553187</c:v>
                </c:pt>
                <c:pt idx="483">
                  <c:v>14.156440537450038</c:v>
                </c:pt>
                <c:pt idx="484">
                  <c:v>-13.726046596039481</c:v>
                </c:pt>
                <c:pt idx="485">
                  <c:v>33.770619149849182</c:v>
                </c:pt>
                <c:pt idx="486">
                  <c:v>3.7833679400660571</c:v>
                </c:pt>
                <c:pt idx="487">
                  <c:v>22.680016363860858</c:v>
                </c:pt>
                <c:pt idx="488">
                  <c:v>17.009754094693108</c:v>
                </c:pt>
                <c:pt idx="489">
                  <c:v>-7.0931037106732049</c:v>
                </c:pt>
                <c:pt idx="490">
                  <c:v>3.3247272662232774</c:v>
                </c:pt>
                <c:pt idx="491">
                  <c:v>13.144049886799849</c:v>
                </c:pt>
                <c:pt idx="492">
                  <c:v>-4.7561328503782363</c:v>
                </c:pt>
                <c:pt idx="493">
                  <c:v>13.560584830265114</c:v>
                </c:pt>
                <c:pt idx="494">
                  <c:v>10.631091128915727</c:v>
                </c:pt>
                <c:pt idx="495">
                  <c:v>-13.089413016531012</c:v>
                </c:pt>
                <c:pt idx="496">
                  <c:v>17.427106942022846</c:v>
                </c:pt>
                <c:pt idx="497">
                  <c:v>4.2433325819533394</c:v>
                </c:pt>
                <c:pt idx="498">
                  <c:v>27.508153004044715</c:v>
                </c:pt>
                <c:pt idx="499">
                  <c:v>9.7704323599374732</c:v>
                </c:pt>
                <c:pt idx="500">
                  <c:v>15.884473757762336</c:v>
                </c:pt>
                <c:pt idx="501">
                  <c:v>25.580307245486679</c:v>
                </c:pt>
                <c:pt idx="502">
                  <c:v>20.468198394794115</c:v>
                </c:pt>
                <c:pt idx="503">
                  <c:v>31.724903679486118</c:v>
                </c:pt>
                <c:pt idx="504">
                  <c:v>9.8621804406169247</c:v>
                </c:pt>
                <c:pt idx="505">
                  <c:v>-5.3825469047059187</c:v>
                </c:pt>
                <c:pt idx="506">
                  <c:v>27.054192008294876</c:v>
                </c:pt>
                <c:pt idx="507">
                  <c:v>-16.394566477070725</c:v>
                </c:pt>
                <c:pt idx="508">
                  <c:v>-21.293833840597003</c:v>
                </c:pt>
                <c:pt idx="509">
                  <c:v>1.0787131004833554</c:v>
                </c:pt>
                <c:pt idx="510">
                  <c:v>55.452773962254469</c:v>
                </c:pt>
                <c:pt idx="511">
                  <c:v>9.0299001818291345</c:v>
                </c:pt>
                <c:pt idx="512">
                  <c:v>32.570607787455202</c:v>
                </c:pt>
                <c:pt idx="513">
                  <c:v>18.441558772593652</c:v>
                </c:pt>
                <c:pt idx="514">
                  <c:v>29.201497924017076</c:v>
                </c:pt>
                <c:pt idx="515">
                  <c:v>-5.6080657050133311</c:v>
                </c:pt>
                <c:pt idx="516">
                  <c:v>0.30129628661080687</c:v>
                </c:pt>
                <c:pt idx="517">
                  <c:v>17.000755454766846</c:v>
                </c:pt>
                <c:pt idx="518">
                  <c:v>-12.706594881803468</c:v>
                </c:pt>
                <c:pt idx="519">
                  <c:v>-21.324027598505523</c:v>
                </c:pt>
                <c:pt idx="520">
                  <c:v>24.410779229563929</c:v>
                </c:pt>
                <c:pt idx="521">
                  <c:v>4.5796466372335658</c:v>
                </c:pt>
                <c:pt idx="522">
                  <c:v>14.978089892554962</c:v>
                </c:pt>
                <c:pt idx="523">
                  <c:v>9.869818490345807</c:v>
                </c:pt>
                <c:pt idx="524">
                  <c:v>-1.1953633773204615</c:v>
                </c:pt>
                <c:pt idx="525">
                  <c:v>-2.5829521462996468</c:v>
                </c:pt>
                <c:pt idx="526">
                  <c:v>18.230990640632598</c:v>
                </c:pt>
                <c:pt idx="527">
                  <c:v>5.7488885093829083</c:v>
                </c:pt>
                <c:pt idx="528">
                  <c:v>29.420192120974804</c:v>
                </c:pt>
                <c:pt idx="529">
                  <c:v>21.286438167392248</c:v>
                </c:pt>
                <c:pt idx="530">
                  <c:v>8.4171094242954467</c:v>
                </c:pt>
                <c:pt idx="531">
                  <c:v>0.20371583391764148</c:v>
                </c:pt>
                <c:pt idx="532">
                  <c:v>-0.32220762718586116</c:v>
                </c:pt>
                <c:pt idx="533">
                  <c:v>22.427801121937279</c:v>
                </c:pt>
                <c:pt idx="534">
                  <c:v>-23.530653419472202</c:v>
                </c:pt>
                <c:pt idx="535">
                  <c:v>17.355300516751882</c:v>
                </c:pt>
                <c:pt idx="536">
                  <c:v>9.1412541656442414</c:v>
                </c:pt>
                <c:pt idx="537">
                  <c:v>-2.0039842667840446</c:v>
                </c:pt>
                <c:pt idx="538">
                  <c:v>6.1423675328763778</c:v>
                </c:pt>
                <c:pt idx="539">
                  <c:v>-8.8248516403563428</c:v>
                </c:pt>
                <c:pt idx="540">
                  <c:v>2.2026825779363151</c:v>
                </c:pt>
                <c:pt idx="541">
                  <c:v>6.1466982404594717</c:v>
                </c:pt>
                <c:pt idx="542">
                  <c:v>32.86221329704145</c:v>
                </c:pt>
                <c:pt idx="543">
                  <c:v>11.203667854915608</c:v>
                </c:pt>
                <c:pt idx="544">
                  <c:v>2.1168379907325345</c:v>
                </c:pt>
                <c:pt idx="545">
                  <c:v>37.276910542018925</c:v>
                </c:pt>
                <c:pt idx="546">
                  <c:v>-3.2449081145112189</c:v>
                </c:pt>
                <c:pt idx="547">
                  <c:v>12.247877972970628</c:v>
                </c:pt>
                <c:pt idx="548">
                  <c:v>1.8631648730157337</c:v>
                </c:pt>
                <c:pt idx="549">
                  <c:v>11.682216890088569</c:v>
                </c:pt>
                <c:pt idx="550">
                  <c:v>9.1582039533928992</c:v>
                </c:pt>
                <c:pt idx="551">
                  <c:v>-4.7033566161910443</c:v>
                </c:pt>
                <c:pt idx="552">
                  <c:v>7.7326229865756488</c:v>
                </c:pt>
                <c:pt idx="553">
                  <c:v>24.23287277838196</c:v>
                </c:pt>
                <c:pt idx="554">
                  <c:v>-18.057171759822495</c:v>
                </c:pt>
                <c:pt idx="555">
                  <c:v>37.827715208314245</c:v>
                </c:pt>
                <c:pt idx="556">
                  <c:v>9.9303987254883737</c:v>
                </c:pt>
                <c:pt idx="557">
                  <c:v>17.125795649751439</c:v>
                </c:pt>
                <c:pt idx="558">
                  <c:v>1.8226285236897866</c:v>
                </c:pt>
                <c:pt idx="559">
                  <c:v>22.296367428588951</c:v>
                </c:pt>
                <c:pt idx="560">
                  <c:v>21.848096995164411</c:v>
                </c:pt>
                <c:pt idx="561">
                  <c:v>26.790120094839267</c:v>
                </c:pt>
                <c:pt idx="562">
                  <c:v>3.1884662952688529</c:v>
                </c:pt>
                <c:pt idx="563">
                  <c:v>24.122161917236426</c:v>
                </c:pt>
                <c:pt idx="564">
                  <c:v>-6.1967640273768154</c:v>
                </c:pt>
                <c:pt idx="565">
                  <c:v>0.89488137791639133</c:v>
                </c:pt>
                <c:pt idx="566">
                  <c:v>15.855434120022736</c:v>
                </c:pt>
                <c:pt idx="567">
                  <c:v>-1.3561739680319249</c:v>
                </c:pt>
                <c:pt idx="568">
                  <c:v>-4.1781339833721205</c:v>
                </c:pt>
                <c:pt idx="569">
                  <c:v>35.629046476683996</c:v>
                </c:pt>
                <c:pt idx="570">
                  <c:v>20.401669365136769</c:v>
                </c:pt>
                <c:pt idx="571">
                  <c:v>5.8600433915701728</c:v>
                </c:pt>
                <c:pt idx="572">
                  <c:v>20.676703415819489</c:v>
                </c:pt>
                <c:pt idx="573">
                  <c:v>9.5867313733638184</c:v>
                </c:pt>
                <c:pt idx="574">
                  <c:v>1.4704166666128486</c:v>
                </c:pt>
                <c:pt idx="575">
                  <c:v>4.9251960338435055</c:v>
                </c:pt>
                <c:pt idx="576">
                  <c:v>-0.48056325901998775</c:v>
                </c:pt>
                <c:pt idx="577">
                  <c:v>26.786640273868159</c:v>
                </c:pt>
                <c:pt idx="578">
                  <c:v>-14.99334015306799</c:v>
                </c:pt>
                <c:pt idx="579">
                  <c:v>13.555916912765099</c:v>
                </c:pt>
                <c:pt idx="580">
                  <c:v>-3.4271160697972931</c:v>
                </c:pt>
                <c:pt idx="581">
                  <c:v>21.557792477744869</c:v>
                </c:pt>
                <c:pt idx="582">
                  <c:v>12.703974735437839</c:v>
                </c:pt>
                <c:pt idx="583">
                  <c:v>25.262947239227088</c:v>
                </c:pt>
                <c:pt idx="584">
                  <c:v>7.8966162406714631</c:v>
                </c:pt>
                <c:pt idx="585">
                  <c:v>2.412920663082275</c:v>
                </c:pt>
                <c:pt idx="586">
                  <c:v>13.808366319843586</c:v>
                </c:pt>
                <c:pt idx="587">
                  <c:v>35.326867096813089</c:v>
                </c:pt>
                <c:pt idx="588">
                  <c:v>15.592488932155717</c:v>
                </c:pt>
                <c:pt idx="589">
                  <c:v>31.621393118578183</c:v>
                </c:pt>
                <c:pt idx="590">
                  <c:v>26.889607385538625</c:v>
                </c:pt>
                <c:pt idx="591">
                  <c:v>10.48988821872635</c:v>
                </c:pt>
                <c:pt idx="592">
                  <c:v>-5.3340963930296539</c:v>
                </c:pt>
                <c:pt idx="593">
                  <c:v>36.1515038937886</c:v>
                </c:pt>
                <c:pt idx="594">
                  <c:v>41.11549607823693</c:v>
                </c:pt>
                <c:pt idx="595">
                  <c:v>11.926939002131519</c:v>
                </c:pt>
                <c:pt idx="596">
                  <c:v>19.352298774482023</c:v>
                </c:pt>
                <c:pt idx="597">
                  <c:v>-18.054483461372001</c:v>
                </c:pt>
                <c:pt idx="598">
                  <c:v>30.821474958063078</c:v>
                </c:pt>
                <c:pt idx="599">
                  <c:v>8.6234159313091396</c:v>
                </c:pt>
                <c:pt idx="600">
                  <c:v>13.143355471215699</c:v>
                </c:pt>
                <c:pt idx="601">
                  <c:v>26.913525077465948</c:v>
                </c:pt>
                <c:pt idx="602">
                  <c:v>33.286724555272656</c:v>
                </c:pt>
                <c:pt idx="603">
                  <c:v>19.14855752369462</c:v>
                </c:pt>
                <c:pt idx="604">
                  <c:v>-7.1843439705769185</c:v>
                </c:pt>
                <c:pt idx="605">
                  <c:v>28.831936937209605</c:v>
                </c:pt>
                <c:pt idx="606">
                  <c:v>2.5189745897102256</c:v>
                </c:pt>
                <c:pt idx="607">
                  <c:v>49.071842809695141</c:v>
                </c:pt>
                <c:pt idx="608">
                  <c:v>27.857097053116235</c:v>
                </c:pt>
                <c:pt idx="609">
                  <c:v>10.358213256470833</c:v>
                </c:pt>
                <c:pt idx="610">
                  <c:v>10.856836614348197</c:v>
                </c:pt>
                <c:pt idx="611">
                  <c:v>4.0191185649256909</c:v>
                </c:pt>
                <c:pt idx="612">
                  <c:v>11.176113580351625</c:v>
                </c:pt>
                <c:pt idx="613">
                  <c:v>4.0041770527479059</c:v>
                </c:pt>
                <c:pt idx="614">
                  <c:v>21.371447966550264</c:v>
                </c:pt>
                <c:pt idx="615">
                  <c:v>30.397017607233437</c:v>
                </c:pt>
                <c:pt idx="616">
                  <c:v>18.289644920053149</c:v>
                </c:pt>
                <c:pt idx="617">
                  <c:v>-2.9712504998151985</c:v>
                </c:pt>
                <c:pt idx="618">
                  <c:v>7.3590785971601065</c:v>
                </c:pt>
                <c:pt idx="619">
                  <c:v>3.6097559715991565</c:v>
                </c:pt>
                <c:pt idx="620">
                  <c:v>16.171028045898282</c:v>
                </c:pt>
                <c:pt idx="621">
                  <c:v>16.53881356167436</c:v>
                </c:pt>
                <c:pt idx="622">
                  <c:v>32.852210218750486</c:v>
                </c:pt>
                <c:pt idx="623">
                  <c:v>13.907321495255019</c:v>
                </c:pt>
                <c:pt idx="624">
                  <c:v>33.141027858822241</c:v>
                </c:pt>
                <c:pt idx="625">
                  <c:v>4.6106525765738269</c:v>
                </c:pt>
                <c:pt idx="626">
                  <c:v>-6.6284959111913224</c:v>
                </c:pt>
                <c:pt idx="627">
                  <c:v>24.700106588757023</c:v>
                </c:pt>
                <c:pt idx="628">
                  <c:v>37.568122736639253</c:v>
                </c:pt>
                <c:pt idx="629">
                  <c:v>19.611902331564977</c:v>
                </c:pt>
                <c:pt idx="630">
                  <c:v>-9.9800375358672397</c:v>
                </c:pt>
                <c:pt idx="631">
                  <c:v>19.193828007586859</c:v>
                </c:pt>
                <c:pt idx="632">
                  <c:v>14.542909142165399</c:v>
                </c:pt>
                <c:pt idx="633">
                  <c:v>25.011675721545501</c:v>
                </c:pt>
                <c:pt idx="634">
                  <c:v>-4.1406580347385642</c:v>
                </c:pt>
                <c:pt idx="635">
                  <c:v>12.342677486078145</c:v>
                </c:pt>
                <c:pt idx="636">
                  <c:v>33.077230149077792</c:v>
                </c:pt>
                <c:pt idx="637">
                  <c:v>30.996639172128539</c:v>
                </c:pt>
                <c:pt idx="638">
                  <c:v>-5.2400142147609472</c:v>
                </c:pt>
                <c:pt idx="639">
                  <c:v>29.840963830153555</c:v>
                </c:pt>
                <c:pt idx="640">
                  <c:v>4.0992710443192095</c:v>
                </c:pt>
                <c:pt idx="641">
                  <c:v>12.721914377655025</c:v>
                </c:pt>
                <c:pt idx="642">
                  <c:v>14.671767921936265</c:v>
                </c:pt>
                <c:pt idx="643">
                  <c:v>6.2445446854780187</c:v>
                </c:pt>
                <c:pt idx="644">
                  <c:v>-10.466100154445286</c:v>
                </c:pt>
                <c:pt idx="645">
                  <c:v>56.766698039257122</c:v>
                </c:pt>
                <c:pt idx="646">
                  <c:v>23.970165617444536</c:v>
                </c:pt>
                <c:pt idx="647">
                  <c:v>32.10263104956968</c:v>
                </c:pt>
                <c:pt idx="648">
                  <c:v>39.747937543727858</c:v>
                </c:pt>
                <c:pt idx="649">
                  <c:v>-2.127947253721743</c:v>
                </c:pt>
                <c:pt idx="650">
                  <c:v>6.668651703046379</c:v>
                </c:pt>
                <c:pt idx="651">
                  <c:v>31.902116036377279</c:v>
                </c:pt>
                <c:pt idx="652">
                  <c:v>30.916155092383022</c:v>
                </c:pt>
                <c:pt idx="653">
                  <c:v>-10.898855319395039</c:v>
                </c:pt>
                <c:pt idx="654">
                  <c:v>15.906983738695544</c:v>
                </c:pt>
                <c:pt idx="655">
                  <c:v>16.712092867668375</c:v>
                </c:pt>
                <c:pt idx="656">
                  <c:v>7.323969311617617</c:v>
                </c:pt>
                <c:pt idx="657">
                  <c:v>-1.3280831581003554</c:v>
                </c:pt>
                <c:pt idx="658">
                  <c:v>37.071880197066946</c:v>
                </c:pt>
                <c:pt idx="659">
                  <c:v>23.99279974504546</c:v>
                </c:pt>
                <c:pt idx="660">
                  <c:v>4.4948305174018088</c:v>
                </c:pt>
                <c:pt idx="661">
                  <c:v>27.966769726097169</c:v>
                </c:pt>
                <c:pt idx="662">
                  <c:v>4.5681202611884828</c:v>
                </c:pt>
                <c:pt idx="663">
                  <c:v>34.119492379362811</c:v>
                </c:pt>
                <c:pt idx="664">
                  <c:v>0.9983314151346292</c:v>
                </c:pt>
                <c:pt idx="665">
                  <c:v>0.26839749283087144</c:v>
                </c:pt>
                <c:pt idx="666">
                  <c:v>30.401080301469619</c:v>
                </c:pt>
                <c:pt idx="667">
                  <c:v>-14.132689545919163</c:v>
                </c:pt>
                <c:pt idx="668">
                  <c:v>19.988164664190151</c:v>
                </c:pt>
                <c:pt idx="669">
                  <c:v>29.938007258268883</c:v>
                </c:pt>
                <c:pt idx="670">
                  <c:v>-8.7947198277404652</c:v>
                </c:pt>
                <c:pt idx="671">
                  <c:v>21.8201372469847</c:v>
                </c:pt>
                <c:pt idx="672">
                  <c:v>14.874599334824552</c:v>
                </c:pt>
                <c:pt idx="673">
                  <c:v>30.339285891201058</c:v>
                </c:pt>
                <c:pt idx="674">
                  <c:v>16.849647161490452</c:v>
                </c:pt>
                <c:pt idx="675">
                  <c:v>-10.916668861449494</c:v>
                </c:pt>
                <c:pt idx="676">
                  <c:v>1.904724167167501</c:v>
                </c:pt>
                <c:pt idx="677">
                  <c:v>4.7278901314992368</c:v>
                </c:pt>
                <c:pt idx="678">
                  <c:v>5.5494480623440978</c:v>
                </c:pt>
                <c:pt idx="679">
                  <c:v>39.888892167742014</c:v>
                </c:pt>
                <c:pt idx="680">
                  <c:v>23.70477637785288</c:v>
                </c:pt>
                <c:pt idx="681">
                  <c:v>19.096518781238416</c:v>
                </c:pt>
                <c:pt idx="682">
                  <c:v>13.87360594060965</c:v>
                </c:pt>
                <c:pt idx="683">
                  <c:v>2.9624742846321936</c:v>
                </c:pt>
                <c:pt idx="684">
                  <c:v>8.6365291233672963</c:v>
                </c:pt>
                <c:pt idx="685">
                  <c:v>2.4063483223424385</c:v>
                </c:pt>
                <c:pt idx="686">
                  <c:v>-1.0085880680483683</c:v>
                </c:pt>
                <c:pt idx="687">
                  <c:v>-11.581609064645789</c:v>
                </c:pt>
                <c:pt idx="688">
                  <c:v>12.419150246519123</c:v>
                </c:pt>
                <c:pt idx="689">
                  <c:v>-0.43789759141188256</c:v>
                </c:pt>
                <c:pt idx="690">
                  <c:v>30.025001028948225</c:v>
                </c:pt>
                <c:pt idx="691">
                  <c:v>19.343784011005013</c:v>
                </c:pt>
                <c:pt idx="692">
                  <c:v>30.884606095941507</c:v>
                </c:pt>
                <c:pt idx="693">
                  <c:v>11.072836549646183</c:v>
                </c:pt>
                <c:pt idx="694">
                  <c:v>32.037781071734145</c:v>
                </c:pt>
                <c:pt idx="695">
                  <c:v>-11.927980024259739</c:v>
                </c:pt>
                <c:pt idx="696">
                  <c:v>13.43277172910426</c:v>
                </c:pt>
                <c:pt idx="697">
                  <c:v>38.960544388893624</c:v>
                </c:pt>
                <c:pt idx="698">
                  <c:v>43.103165746774465</c:v>
                </c:pt>
                <c:pt idx="699">
                  <c:v>24.078105273055641</c:v>
                </c:pt>
                <c:pt idx="700">
                  <c:v>50.637241495720488</c:v>
                </c:pt>
                <c:pt idx="701">
                  <c:v>-6.5798582408540653</c:v>
                </c:pt>
                <c:pt idx="702">
                  <c:v>24.324612177969314</c:v>
                </c:pt>
                <c:pt idx="703">
                  <c:v>-4.1323204933550954</c:v>
                </c:pt>
                <c:pt idx="704">
                  <c:v>30.675303137390131</c:v>
                </c:pt>
                <c:pt idx="705">
                  <c:v>11.551845821535721</c:v>
                </c:pt>
                <c:pt idx="706">
                  <c:v>10.534661281080389</c:v>
                </c:pt>
                <c:pt idx="707">
                  <c:v>10.134286201633472</c:v>
                </c:pt>
                <c:pt idx="708">
                  <c:v>19.798831193225169</c:v>
                </c:pt>
                <c:pt idx="709">
                  <c:v>17.745437969484513</c:v>
                </c:pt>
                <c:pt idx="710">
                  <c:v>8.5848091061913863</c:v>
                </c:pt>
                <c:pt idx="711">
                  <c:v>-2.309333250311667</c:v>
                </c:pt>
                <c:pt idx="712">
                  <c:v>-5.4104552070838849</c:v>
                </c:pt>
                <c:pt idx="713">
                  <c:v>12.898355615023547</c:v>
                </c:pt>
                <c:pt idx="714">
                  <c:v>7.169442308507513</c:v>
                </c:pt>
                <c:pt idx="715">
                  <c:v>7.4912728344228583</c:v>
                </c:pt>
                <c:pt idx="716">
                  <c:v>0.93115608143148165</c:v>
                </c:pt>
                <c:pt idx="717">
                  <c:v>20.938629268390997</c:v>
                </c:pt>
                <c:pt idx="718">
                  <c:v>20.752764611313935</c:v>
                </c:pt>
                <c:pt idx="719">
                  <c:v>-32.930303446459135</c:v>
                </c:pt>
                <c:pt idx="720">
                  <c:v>12.839536771958819</c:v>
                </c:pt>
                <c:pt idx="721">
                  <c:v>16.596755292410307</c:v>
                </c:pt>
                <c:pt idx="722">
                  <c:v>24.070397073054039</c:v>
                </c:pt>
                <c:pt idx="723">
                  <c:v>12.021633131388256</c:v>
                </c:pt>
                <c:pt idx="724">
                  <c:v>-15.547357029831346</c:v>
                </c:pt>
                <c:pt idx="725">
                  <c:v>7.3187789770498171</c:v>
                </c:pt>
                <c:pt idx="726">
                  <c:v>6.3310651537684777</c:v>
                </c:pt>
                <c:pt idx="727">
                  <c:v>12.119880749952856</c:v>
                </c:pt>
                <c:pt idx="728">
                  <c:v>26.750632655122217</c:v>
                </c:pt>
                <c:pt idx="729">
                  <c:v>10.094969835319603</c:v>
                </c:pt>
                <c:pt idx="730">
                  <c:v>-11.477560750213954</c:v>
                </c:pt>
                <c:pt idx="731">
                  <c:v>21.826773940802738</c:v>
                </c:pt>
                <c:pt idx="732">
                  <c:v>22.743216429561386</c:v>
                </c:pt>
                <c:pt idx="733">
                  <c:v>7.3529509288888732</c:v>
                </c:pt>
                <c:pt idx="734">
                  <c:v>31.223515131216686</c:v>
                </c:pt>
                <c:pt idx="735">
                  <c:v>-2.5146098080394665</c:v>
                </c:pt>
                <c:pt idx="736">
                  <c:v>5.2874540218397215</c:v>
                </c:pt>
                <c:pt idx="737">
                  <c:v>19.889113226965208</c:v>
                </c:pt>
                <c:pt idx="738">
                  <c:v>12.373045148660651</c:v>
                </c:pt>
                <c:pt idx="739">
                  <c:v>22.696930700723627</c:v>
                </c:pt>
                <c:pt idx="740">
                  <c:v>6.278570958296001</c:v>
                </c:pt>
                <c:pt idx="741">
                  <c:v>0.50358499141712798</c:v>
                </c:pt>
                <c:pt idx="742">
                  <c:v>26.744491751117579</c:v>
                </c:pt>
                <c:pt idx="743">
                  <c:v>8.4888723512818274</c:v>
                </c:pt>
                <c:pt idx="744">
                  <c:v>15.807664367282882</c:v>
                </c:pt>
                <c:pt idx="745">
                  <c:v>-15.436708301286728</c:v>
                </c:pt>
                <c:pt idx="746">
                  <c:v>41.998346086901165</c:v>
                </c:pt>
                <c:pt idx="747">
                  <c:v>8.7329101317354656</c:v>
                </c:pt>
                <c:pt idx="748">
                  <c:v>3.1801333434975732</c:v>
                </c:pt>
                <c:pt idx="749">
                  <c:v>45.755221044284951</c:v>
                </c:pt>
                <c:pt idx="750">
                  <c:v>-6.9361380273884237</c:v>
                </c:pt>
                <c:pt idx="751">
                  <c:v>-11.371387259260061</c:v>
                </c:pt>
                <c:pt idx="752">
                  <c:v>9.4651385246777977</c:v>
                </c:pt>
                <c:pt idx="753">
                  <c:v>-18.978198533720189</c:v>
                </c:pt>
                <c:pt idx="754">
                  <c:v>0.35709535644693347</c:v>
                </c:pt>
                <c:pt idx="755">
                  <c:v>9.366437134150857</c:v>
                </c:pt>
                <c:pt idx="756">
                  <c:v>9.5714042384567506</c:v>
                </c:pt>
                <c:pt idx="757">
                  <c:v>11.924060087157642</c:v>
                </c:pt>
                <c:pt idx="758">
                  <c:v>24.789408844994369</c:v>
                </c:pt>
                <c:pt idx="759">
                  <c:v>7.4810596485839653</c:v>
                </c:pt>
                <c:pt idx="760">
                  <c:v>13.631074067167162</c:v>
                </c:pt>
                <c:pt idx="761">
                  <c:v>29.52869561912334</c:v>
                </c:pt>
                <c:pt idx="762">
                  <c:v>-25.25747996502858</c:v>
                </c:pt>
                <c:pt idx="763">
                  <c:v>0.11145250936573348</c:v>
                </c:pt>
                <c:pt idx="764">
                  <c:v>5.645713513320672</c:v>
                </c:pt>
                <c:pt idx="765">
                  <c:v>-5.5305691558531294</c:v>
                </c:pt>
                <c:pt idx="766">
                  <c:v>-2.8617531479087575</c:v>
                </c:pt>
                <c:pt idx="767">
                  <c:v>-9.1109640662969582</c:v>
                </c:pt>
                <c:pt idx="768">
                  <c:v>8.839411650524795</c:v>
                </c:pt>
                <c:pt idx="769">
                  <c:v>15.409335446827555</c:v>
                </c:pt>
                <c:pt idx="770">
                  <c:v>21.628522862522686</c:v>
                </c:pt>
                <c:pt idx="771">
                  <c:v>15.01958089321792</c:v>
                </c:pt>
                <c:pt idx="772">
                  <c:v>-15.804970640506895</c:v>
                </c:pt>
                <c:pt idx="773">
                  <c:v>4.151551442421578</c:v>
                </c:pt>
                <c:pt idx="774">
                  <c:v>12.364636476749297</c:v>
                </c:pt>
                <c:pt idx="775">
                  <c:v>22.122361203977817</c:v>
                </c:pt>
                <c:pt idx="776">
                  <c:v>33.931073632646957</c:v>
                </c:pt>
                <c:pt idx="777">
                  <c:v>30.36080999522045</c:v>
                </c:pt>
                <c:pt idx="778">
                  <c:v>-7.7712652092190524</c:v>
                </c:pt>
                <c:pt idx="779">
                  <c:v>29.780545355484691</c:v>
                </c:pt>
                <c:pt idx="780">
                  <c:v>21.216352509787754</c:v>
                </c:pt>
                <c:pt idx="781">
                  <c:v>20.873196194989475</c:v>
                </c:pt>
                <c:pt idx="782">
                  <c:v>7.803019371127931</c:v>
                </c:pt>
                <c:pt idx="783">
                  <c:v>5.293317620183501</c:v>
                </c:pt>
                <c:pt idx="784">
                  <c:v>-15.545632459409973</c:v>
                </c:pt>
                <c:pt idx="785">
                  <c:v>17.525393370732601</c:v>
                </c:pt>
                <c:pt idx="786">
                  <c:v>9.994234247962666</c:v>
                </c:pt>
                <c:pt idx="787">
                  <c:v>-21.57488457215581</c:v>
                </c:pt>
                <c:pt idx="788">
                  <c:v>28.009470811892285</c:v>
                </c:pt>
                <c:pt idx="789">
                  <c:v>-1.1113910338632706</c:v>
                </c:pt>
                <c:pt idx="790">
                  <c:v>36.910801576427616</c:v>
                </c:pt>
                <c:pt idx="791">
                  <c:v>25.087587183303327</c:v>
                </c:pt>
                <c:pt idx="792">
                  <c:v>18.467047344884406</c:v>
                </c:pt>
                <c:pt idx="793">
                  <c:v>39.862374075313639</c:v>
                </c:pt>
                <c:pt idx="794">
                  <c:v>34.238085209768457</c:v>
                </c:pt>
                <c:pt idx="795">
                  <c:v>27.348810629100583</c:v>
                </c:pt>
                <c:pt idx="796">
                  <c:v>14.241932167574987</c:v>
                </c:pt>
                <c:pt idx="797">
                  <c:v>51.025552806937256</c:v>
                </c:pt>
                <c:pt idx="798">
                  <c:v>-6.5037827088432607</c:v>
                </c:pt>
                <c:pt idx="799">
                  <c:v>32.266461567520935</c:v>
                </c:pt>
                <c:pt idx="800">
                  <c:v>8.2373645462716922</c:v>
                </c:pt>
                <c:pt idx="801">
                  <c:v>14.289981603146074</c:v>
                </c:pt>
                <c:pt idx="802">
                  <c:v>42.151740178270018</c:v>
                </c:pt>
                <c:pt idx="803">
                  <c:v>18.393951798228642</c:v>
                </c:pt>
                <c:pt idx="804">
                  <c:v>-2.6077345163483017</c:v>
                </c:pt>
                <c:pt idx="805">
                  <c:v>-2.0133634797510069</c:v>
                </c:pt>
                <c:pt idx="806">
                  <c:v>-2.4241596942638068</c:v>
                </c:pt>
                <c:pt idx="807">
                  <c:v>15.71094605824419</c:v>
                </c:pt>
                <c:pt idx="808">
                  <c:v>8.34936389311639</c:v>
                </c:pt>
                <c:pt idx="809">
                  <c:v>-10.025743182174551</c:v>
                </c:pt>
                <c:pt idx="810">
                  <c:v>37.948139222882816</c:v>
                </c:pt>
                <c:pt idx="811">
                  <c:v>30.596982292273054</c:v>
                </c:pt>
                <c:pt idx="812">
                  <c:v>-7.9918843501258436</c:v>
                </c:pt>
                <c:pt idx="813">
                  <c:v>34.90535653928859</c:v>
                </c:pt>
                <c:pt idx="814">
                  <c:v>-21.366004062123793</c:v>
                </c:pt>
                <c:pt idx="815">
                  <c:v>22.323812166133877</c:v>
                </c:pt>
                <c:pt idx="816">
                  <c:v>27.759656714575698</c:v>
                </c:pt>
                <c:pt idx="817">
                  <c:v>26.590216586000082</c:v>
                </c:pt>
                <c:pt idx="818">
                  <c:v>21.86909084957415</c:v>
                </c:pt>
                <c:pt idx="819">
                  <c:v>38.492872415712554</c:v>
                </c:pt>
                <c:pt idx="820">
                  <c:v>13.921139145894756</c:v>
                </c:pt>
                <c:pt idx="821">
                  <c:v>21.417112078117853</c:v>
                </c:pt>
                <c:pt idx="822">
                  <c:v>-14.478219411025847</c:v>
                </c:pt>
                <c:pt idx="823">
                  <c:v>38.477108801643638</c:v>
                </c:pt>
                <c:pt idx="824">
                  <c:v>-5.607639413233926</c:v>
                </c:pt>
                <c:pt idx="825">
                  <c:v>33.118085237975421</c:v>
                </c:pt>
                <c:pt idx="826">
                  <c:v>4.2275081984322185</c:v>
                </c:pt>
                <c:pt idx="827">
                  <c:v>5.1502328950957406</c:v>
                </c:pt>
                <c:pt idx="828">
                  <c:v>14.11472058592193</c:v>
                </c:pt>
                <c:pt idx="829">
                  <c:v>-6.7449241230570181</c:v>
                </c:pt>
                <c:pt idx="830">
                  <c:v>-0.10603715194977781</c:v>
                </c:pt>
                <c:pt idx="831">
                  <c:v>-20.244686097968653</c:v>
                </c:pt>
                <c:pt idx="832">
                  <c:v>10.503568339301921</c:v>
                </c:pt>
                <c:pt idx="833">
                  <c:v>16.896689660106802</c:v>
                </c:pt>
                <c:pt idx="834">
                  <c:v>5.5268421395074654</c:v>
                </c:pt>
                <c:pt idx="835">
                  <c:v>19.681459428839233</c:v>
                </c:pt>
                <c:pt idx="836">
                  <c:v>9.5167285951827694</c:v>
                </c:pt>
                <c:pt idx="837">
                  <c:v>24.405749692179768</c:v>
                </c:pt>
                <c:pt idx="838">
                  <c:v>-5.7614364271076965</c:v>
                </c:pt>
                <c:pt idx="839">
                  <c:v>2.1811402382275418</c:v>
                </c:pt>
                <c:pt idx="840">
                  <c:v>31.893646703303588</c:v>
                </c:pt>
                <c:pt idx="841">
                  <c:v>0.99505660026650844</c:v>
                </c:pt>
                <c:pt idx="842">
                  <c:v>-15.418110031626597</c:v>
                </c:pt>
                <c:pt idx="843">
                  <c:v>36.448390472727411</c:v>
                </c:pt>
                <c:pt idx="844">
                  <c:v>24.712869765538457</c:v>
                </c:pt>
                <c:pt idx="845">
                  <c:v>24.223597382340358</c:v>
                </c:pt>
                <c:pt idx="846">
                  <c:v>20.021333796863331</c:v>
                </c:pt>
                <c:pt idx="847">
                  <c:v>35.175201912026409</c:v>
                </c:pt>
                <c:pt idx="848">
                  <c:v>3.4943691165182997</c:v>
                </c:pt>
                <c:pt idx="849">
                  <c:v>30.0599376795073</c:v>
                </c:pt>
                <c:pt idx="850">
                  <c:v>58.12103916847316</c:v>
                </c:pt>
                <c:pt idx="851">
                  <c:v>18.977154123638016</c:v>
                </c:pt>
                <c:pt idx="852">
                  <c:v>17.281296117651436</c:v>
                </c:pt>
                <c:pt idx="853">
                  <c:v>6.621232931879959</c:v>
                </c:pt>
                <c:pt idx="854">
                  <c:v>20.945459366216639</c:v>
                </c:pt>
                <c:pt idx="855">
                  <c:v>29.256470591093574</c:v>
                </c:pt>
                <c:pt idx="856">
                  <c:v>30.755189150103803</c:v>
                </c:pt>
                <c:pt idx="857">
                  <c:v>26.085784924654405</c:v>
                </c:pt>
                <c:pt idx="858">
                  <c:v>-4.6218951682768363</c:v>
                </c:pt>
                <c:pt idx="859">
                  <c:v>7.7889429058569135</c:v>
                </c:pt>
                <c:pt idx="860">
                  <c:v>11.048741370220455</c:v>
                </c:pt>
                <c:pt idx="861">
                  <c:v>-2.8129924942593902</c:v>
                </c:pt>
                <c:pt idx="862">
                  <c:v>-11.57417073817048</c:v>
                </c:pt>
                <c:pt idx="863">
                  <c:v>21.481845493164428</c:v>
                </c:pt>
                <c:pt idx="864">
                  <c:v>21.425646861013007</c:v>
                </c:pt>
                <c:pt idx="865">
                  <c:v>-19.857846264660679</c:v>
                </c:pt>
                <c:pt idx="866">
                  <c:v>19.924001109460875</c:v>
                </c:pt>
                <c:pt idx="867">
                  <c:v>9.5456120767002801</c:v>
                </c:pt>
                <c:pt idx="868">
                  <c:v>-5.1362504290572701</c:v>
                </c:pt>
                <c:pt idx="869">
                  <c:v>-13.496402575449608</c:v>
                </c:pt>
                <c:pt idx="870">
                  <c:v>8.0049123447530803</c:v>
                </c:pt>
                <c:pt idx="871">
                  <c:v>13.996639895724314</c:v>
                </c:pt>
                <c:pt idx="872">
                  <c:v>-11.397978356720273</c:v>
                </c:pt>
                <c:pt idx="873">
                  <c:v>31.722076573887819</c:v>
                </c:pt>
                <c:pt idx="874">
                  <c:v>14.500936217352603</c:v>
                </c:pt>
                <c:pt idx="875">
                  <c:v>12.096378128817378</c:v>
                </c:pt>
                <c:pt idx="876">
                  <c:v>1.2738124941962781</c:v>
                </c:pt>
                <c:pt idx="877">
                  <c:v>6.8834143324890107</c:v>
                </c:pt>
                <c:pt idx="878">
                  <c:v>32.052705709598513</c:v>
                </c:pt>
                <c:pt idx="879">
                  <c:v>37.50982247328011</c:v>
                </c:pt>
                <c:pt idx="880">
                  <c:v>32.643060878295017</c:v>
                </c:pt>
                <c:pt idx="881">
                  <c:v>-2.1537347404166951</c:v>
                </c:pt>
                <c:pt idx="882">
                  <c:v>42.298391386817059</c:v>
                </c:pt>
                <c:pt idx="883">
                  <c:v>7.5052108479817292</c:v>
                </c:pt>
                <c:pt idx="884">
                  <c:v>9.1433815734101813</c:v>
                </c:pt>
                <c:pt idx="885">
                  <c:v>43.83246746983049</c:v>
                </c:pt>
                <c:pt idx="886">
                  <c:v>2.1076073083009703</c:v>
                </c:pt>
                <c:pt idx="887">
                  <c:v>-0.11474639389484764</c:v>
                </c:pt>
                <c:pt idx="888">
                  <c:v>-25.995869476892693</c:v>
                </c:pt>
                <c:pt idx="889">
                  <c:v>8.9257244083412104</c:v>
                </c:pt>
                <c:pt idx="890">
                  <c:v>-30.275411697042799</c:v>
                </c:pt>
                <c:pt idx="891">
                  <c:v>9.3439918490587104</c:v>
                </c:pt>
                <c:pt idx="892">
                  <c:v>21.012793043849271</c:v>
                </c:pt>
                <c:pt idx="893">
                  <c:v>5.5391373906344938</c:v>
                </c:pt>
                <c:pt idx="894">
                  <c:v>-0.75661950840924419</c:v>
                </c:pt>
                <c:pt idx="895">
                  <c:v>22.098022730271765</c:v>
                </c:pt>
                <c:pt idx="896">
                  <c:v>22.380390407790998</c:v>
                </c:pt>
                <c:pt idx="897">
                  <c:v>-24.970995265994276</c:v>
                </c:pt>
                <c:pt idx="898">
                  <c:v>11.342113620959708</c:v>
                </c:pt>
                <c:pt idx="899">
                  <c:v>22.016877240136509</c:v>
                </c:pt>
                <c:pt idx="900">
                  <c:v>-11.504376919461095</c:v>
                </c:pt>
                <c:pt idx="901">
                  <c:v>23.271762491991311</c:v>
                </c:pt>
                <c:pt idx="902">
                  <c:v>30.224938327303249</c:v>
                </c:pt>
                <c:pt idx="903">
                  <c:v>8.6391546484652793</c:v>
                </c:pt>
                <c:pt idx="904">
                  <c:v>12.815844062258321</c:v>
                </c:pt>
                <c:pt idx="905">
                  <c:v>27.513078056612045</c:v>
                </c:pt>
                <c:pt idx="906">
                  <c:v>27.378794609594863</c:v>
                </c:pt>
                <c:pt idx="907">
                  <c:v>20.623922645710564</c:v>
                </c:pt>
                <c:pt idx="908">
                  <c:v>-16.27699512335451</c:v>
                </c:pt>
                <c:pt idx="909">
                  <c:v>24.162643190554206</c:v>
                </c:pt>
                <c:pt idx="910">
                  <c:v>7.6532313266813503</c:v>
                </c:pt>
                <c:pt idx="911">
                  <c:v>-13.738768050538653</c:v>
                </c:pt>
                <c:pt idx="912">
                  <c:v>35.72124557630697</c:v>
                </c:pt>
                <c:pt idx="913">
                  <c:v>-0.59923066015031168</c:v>
                </c:pt>
                <c:pt idx="914">
                  <c:v>9.0826447728857715</c:v>
                </c:pt>
                <c:pt idx="915">
                  <c:v>11.087003409464558</c:v>
                </c:pt>
                <c:pt idx="916">
                  <c:v>-0.4347772200644755</c:v>
                </c:pt>
                <c:pt idx="917">
                  <c:v>26.230925780230706</c:v>
                </c:pt>
                <c:pt idx="918">
                  <c:v>29.34326698548503</c:v>
                </c:pt>
                <c:pt idx="919">
                  <c:v>11.272371256642515</c:v>
                </c:pt>
                <c:pt idx="920">
                  <c:v>24.119535519732551</c:v>
                </c:pt>
                <c:pt idx="921">
                  <c:v>-13.335867577409971</c:v>
                </c:pt>
                <c:pt idx="922">
                  <c:v>-8.1472826657143145</c:v>
                </c:pt>
                <c:pt idx="923">
                  <c:v>-13.824606983210586</c:v>
                </c:pt>
                <c:pt idx="924">
                  <c:v>21.748769581946419</c:v>
                </c:pt>
                <c:pt idx="925">
                  <c:v>18.141330449208425</c:v>
                </c:pt>
                <c:pt idx="926">
                  <c:v>33.235837140972563</c:v>
                </c:pt>
                <c:pt idx="927">
                  <c:v>-3.7279324448075783</c:v>
                </c:pt>
                <c:pt idx="928">
                  <c:v>36.887090848643723</c:v>
                </c:pt>
                <c:pt idx="929">
                  <c:v>13.560351187476698</c:v>
                </c:pt>
                <c:pt idx="930">
                  <c:v>30.092291240215886</c:v>
                </c:pt>
                <c:pt idx="931">
                  <c:v>5.477262442182905</c:v>
                </c:pt>
                <c:pt idx="932">
                  <c:v>22.211546504335473</c:v>
                </c:pt>
                <c:pt idx="933">
                  <c:v>36.627814791228701</c:v>
                </c:pt>
                <c:pt idx="934">
                  <c:v>13.938497802163724</c:v>
                </c:pt>
                <c:pt idx="935">
                  <c:v>26.282487779559659</c:v>
                </c:pt>
                <c:pt idx="936">
                  <c:v>31.066675430695469</c:v>
                </c:pt>
                <c:pt idx="937">
                  <c:v>26.187530401932548</c:v>
                </c:pt>
                <c:pt idx="938">
                  <c:v>18.709323857857413</c:v>
                </c:pt>
                <c:pt idx="939">
                  <c:v>16.549229780116505</c:v>
                </c:pt>
                <c:pt idx="940">
                  <c:v>-0.24158812022673715</c:v>
                </c:pt>
                <c:pt idx="941">
                  <c:v>29.553975918240113</c:v>
                </c:pt>
                <c:pt idx="942">
                  <c:v>18.423261392348707</c:v>
                </c:pt>
                <c:pt idx="943">
                  <c:v>0.36310889925046297</c:v>
                </c:pt>
                <c:pt idx="944">
                  <c:v>15.058009544609433</c:v>
                </c:pt>
                <c:pt idx="945">
                  <c:v>2.1791556165626673</c:v>
                </c:pt>
                <c:pt idx="946">
                  <c:v>29.684012398176094</c:v>
                </c:pt>
                <c:pt idx="947">
                  <c:v>12.993043261255735</c:v>
                </c:pt>
                <c:pt idx="948">
                  <c:v>45.447035962249643</c:v>
                </c:pt>
                <c:pt idx="949">
                  <c:v>9.2005344941054403</c:v>
                </c:pt>
                <c:pt idx="950">
                  <c:v>30.312419609462779</c:v>
                </c:pt>
                <c:pt idx="951">
                  <c:v>28.895036884123186</c:v>
                </c:pt>
                <c:pt idx="952">
                  <c:v>25.958586603295501</c:v>
                </c:pt>
                <c:pt idx="953">
                  <c:v>38.434775614172494</c:v>
                </c:pt>
                <c:pt idx="954">
                  <c:v>42.077856224614678</c:v>
                </c:pt>
                <c:pt idx="955">
                  <c:v>27.59478242020333</c:v>
                </c:pt>
                <c:pt idx="956">
                  <c:v>1.9345217846118317</c:v>
                </c:pt>
                <c:pt idx="957">
                  <c:v>-10.476859728252407</c:v>
                </c:pt>
                <c:pt idx="958">
                  <c:v>32.275542452687532</c:v>
                </c:pt>
                <c:pt idx="959">
                  <c:v>25.329270639381917</c:v>
                </c:pt>
                <c:pt idx="960">
                  <c:v>5.6561557665048667</c:v>
                </c:pt>
                <c:pt idx="961">
                  <c:v>-0.29637668773055736</c:v>
                </c:pt>
                <c:pt idx="962">
                  <c:v>5.4182382399023936</c:v>
                </c:pt>
                <c:pt idx="963">
                  <c:v>27.566142209275256</c:v>
                </c:pt>
                <c:pt idx="964">
                  <c:v>20.618548017642794</c:v>
                </c:pt>
                <c:pt idx="965">
                  <c:v>14.462922809457382</c:v>
                </c:pt>
                <c:pt idx="966">
                  <c:v>-19.799662550098233</c:v>
                </c:pt>
                <c:pt idx="967">
                  <c:v>12.095898292437141</c:v>
                </c:pt>
                <c:pt idx="968">
                  <c:v>6.0247713446752869</c:v>
                </c:pt>
                <c:pt idx="969">
                  <c:v>20.973440085067935</c:v>
                </c:pt>
                <c:pt idx="970">
                  <c:v>7.9380204852505756</c:v>
                </c:pt>
                <c:pt idx="971">
                  <c:v>27.008179131606212</c:v>
                </c:pt>
                <c:pt idx="972">
                  <c:v>18.658415870837402</c:v>
                </c:pt>
                <c:pt idx="973">
                  <c:v>2.1323133542139061</c:v>
                </c:pt>
                <c:pt idx="974">
                  <c:v>24.136926555351181</c:v>
                </c:pt>
                <c:pt idx="975">
                  <c:v>9.7890486754565984</c:v>
                </c:pt>
                <c:pt idx="976">
                  <c:v>16.950668391627431</c:v>
                </c:pt>
                <c:pt idx="977">
                  <c:v>38.74165399259681</c:v>
                </c:pt>
                <c:pt idx="978">
                  <c:v>9.3301698727026121</c:v>
                </c:pt>
                <c:pt idx="979">
                  <c:v>36.915970871263212</c:v>
                </c:pt>
                <c:pt idx="980">
                  <c:v>21.226196506696979</c:v>
                </c:pt>
                <c:pt idx="981">
                  <c:v>27.654192969761439</c:v>
                </c:pt>
                <c:pt idx="982">
                  <c:v>11.963785426097729</c:v>
                </c:pt>
                <c:pt idx="983">
                  <c:v>8.1933856890529171</c:v>
                </c:pt>
                <c:pt idx="984">
                  <c:v>25.316640226961709</c:v>
                </c:pt>
                <c:pt idx="985">
                  <c:v>-16.393249718948425</c:v>
                </c:pt>
                <c:pt idx="986">
                  <c:v>47.377924228149269</c:v>
                </c:pt>
                <c:pt idx="987">
                  <c:v>3.0238457678955086</c:v>
                </c:pt>
                <c:pt idx="988">
                  <c:v>27.13053873304419</c:v>
                </c:pt>
                <c:pt idx="989">
                  <c:v>49.035471114602984</c:v>
                </c:pt>
                <c:pt idx="990">
                  <c:v>27.903849842709178</c:v>
                </c:pt>
                <c:pt idx="991">
                  <c:v>-12.13447836683909</c:v>
                </c:pt>
                <c:pt idx="992">
                  <c:v>-10.627743010643627</c:v>
                </c:pt>
                <c:pt idx="993">
                  <c:v>14.029059216051678</c:v>
                </c:pt>
                <c:pt idx="994">
                  <c:v>0.17026829826451717</c:v>
                </c:pt>
                <c:pt idx="995">
                  <c:v>-10.367932980640731</c:v>
                </c:pt>
                <c:pt idx="996">
                  <c:v>10.622829584427336</c:v>
                </c:pt>
                <c:pt idx="997">
                  <c:v>18.465096996431299</c:v>
                </c:pt>
                <c:pt idx="998">
                  <c:v>6.5952914019412958</c:v>
                </c:pt>
                <c:pt idx="999">
                  <c:v>15.578528289903886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36-434C-A156-CE4A6FDD4E2A}"/>
            </c:ext>
          </c:extLst>
        </c:ser>
        <c:ser>
          <c:idx val="1"/>
          <c:order val="1"/>
          <c:tx>
            <c:v>null</c:v>
          </c:tx>
          <c:spPr>
            <a:ln w="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7C80"/>
              </a:solidFill>
              <a:ln w="0">
                <a:solidFill>
                  <a:srgbClr val="FF7C80"/>
                </a:solidFill>
              </a:ln>
              <a:effectLst/>
            </c:spPr>
          </c:marker>
          <c:dPt>
            <c:idx val="829"/>
            <c:marker>
              <c:symbol val="circle"/>
              <c:size val="5"/>
              <c:spPr>
                <a:solidFill>
                  <a:srgbClr val="FF7C80"/>
                </a:solidFill>
                <a:ln w="0">
                  <a:solidFill>
                    <a:srgbClr val="FF7C80"/>
                  </a:solidFill>
                </a:ln>
                <a:effectLst/>
              </c:spPr>
            </c:marker>
            <c:bubble3D val="0"/>
            <c:spPr>
              <a:ln w="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1736-434C-A156-CE4A6FDD4E2A}"/>
              </c:ext>
            </c:extLst>
          </c:dPt>
          <c:xVal>
            <c:numRef>
              <c:f>dashboard!$I$5:$I$1004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</c:numCache>
            </c:numRef>
          </c:xVal>
          <c:yVal>
            <c:numRef>
              <c:f>dashboard!$K$5:$K$1004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36-434C-A156-CE4A6FDD4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0653103"/>
        <c:axId val="1450655983"/>
      </c:scatterChart>
      <c:valAx>
        <c:axId val="1450653103"/>
        <c:scaling>
          <c:orientation val="minMax"/>
          <c:max val="1000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out"/>
        <c:minorTickMark val="none"/>
        <c:tickLblPos val="nextTo"/>
        <c:crossAx val="1450655983"/>
        <c:crosses val="autoZero"/>
        <c:crossBetween val="midCat"/>
        <c:majorUnit val="100"/>
      </c:valAx>
      <c:valAx>
        <c:axId val="1450655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hu-HU" sz="1200">
                    <a:solidFill>
                      <a:sysClr val="windowText" lastClr="000000"/>
                    </a:solidFill>
                  </a:rPr>
                  <a:t>egyenleg</a:t>
                </a:r>
                <a:endParaRPr lang="hu-HU">
                  <a:solidFill>
                    <a:sysClr val="windowText" lastClr="000000"/>
                  </a:solidFill>
                </a:endParaRPr>
              </a:p>
              <a:p>
                <a:pPr>
                  <a:defRPr/>
                </a:pPr>
                <a:endParaRPr lang="hu-H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u-H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14506531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hu-HU" sz="1400" b="0" i="0" u="none" strike="noStrike" baseline="0">
                <a:solidFill>
                  <a:sysClr val="windowText" lastClr="000000"/>
                </a:solidFill>
                <a:latin typeface="Aptos Narrow" panose="02110004020202020204"/>
              </a:rPr>
              <a:t>Szimuláció eredmények</a:t>
            </a:r>
            <a:endParaRPr lang="en-US" sz="1400" b="0" i="0" u="none" strike="noStrike" baseline="0">
              <a:solidFill>
                <a:sysClr val="windowText" lastClr="000000"/>
              </a:solidFill>
              <a:latin typeface="Aptos Narrow" panose="02110004020202020204"/>
            </a:endParaRPr>
          </a:p>
        </cx:rich>
      </cx:tx>
    </cx:title>
    <cx:plotArea>
      <cx:plotAreaRegion>
        <cx:plotSurface>
          <cx:spPr>
            <a:effectLst>
              <a:softEdge rad="12700"/>
            </a:effectLst>
          </cx:spPr>
        </cx:plotSurface>
        <cx:series layoutId="clusteredColumn" uniqueId="{8D6F3A7C-0AF3-48F7-82F5-F064D37319AE}">
          <cx:tx>
            <cx:txData>
              <cx:f>_xlchart.v1.0</cx:f>
              <cx:v>Outcome</cx:v>
            </cx:txData>
          </cx:tx>
          <cx:spPr>
            <a:solidFill>
              <a:schemeClr val="bg2">
                <a:lumMod val="75000"/>
              </a:schemeClr>
            </a:solidFill>
          </cx:spPr>
          <cx:dataId val="0"/>
          <cx:layoutPr>
            <cx:binning intervalClosed="r"/>
          </cx:layoutPr>
        </cx:series>
      </cx:plotAreaRegion>
      <cx:axis id="0" hidden="1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Spin" dx="22" fmlaLink="$G$3" max="100" min="1" page="10" val="80"/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1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273844</xdr:colOff>
      <xdr:row>21</xdr:row>
      <xdr:rowOff>66675</xdr:rowOff>
    </xdr:from>
    <xdr:to>
      <xdr:col>7</xdr:col>
      <xdr:colOff>104775</xdr:colOff>
      <xdr:row>38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607219</xdr:colOff>
      <xdr:row>11</xdr:row>
      <xdr:rowOff>173831</xdr:rowOff>
    </xdr:from>
    <xdr:to>
      <xdr:col>7</xdr:col>
      <xdr:colOff>123825</xdr:colOff>
      <xdr:row>20</xdr:row>
      <xdr:rowOff>164306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62500" y="2376487"/>
              <a:ext cx="2826544" cy="176450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hu-HU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</xdr:col>
      <xdr:colOff>123825</xdr:colOff>
      <xdr:row>16</xdr:row>
      <xdr:rowOff>190500</xdr:rowOff>
    </xdr:from>
    <xdr:to>
      <xdr:col>2</xdr:col>
      <xdr:colOff>847725</xdr:colOff>
      <xdr:row>18</xdr:row>
      <xdr:rowOff>180975</xdr:rowOff>
    </xdr:to>
    <xdr:sp macro="[0]!GoalSeekFromC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371850" y="3352800"/>
          <a:ext cx="723900" cy="381000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100">
              <a:solidFill>
                <a:sysClr val="windowText" lastClr="000000"/>
              </a:solidFill>
            </a:rPr>
            <a:t>Optimize</a:t>
          </a:r>
          <a:r>
            <a:rPr lang="hu-HU" sz="1100"/>
            <a:t>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64294</xdr:colOff>
          <xdr:row>3</xdr:row>
          <xdr:rowOff>159543</xdr:rowOff>
        </xdr:from>
        <xdr:to>
          <xdr:col>7</xdr:col>
          <xdr:colOff>378619</xdr:colOff>
          <xdr:row>5</xdr:row>
          <xdr:rowOff>150018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0B7CB-E590-4776-B9C8-0DFEE53D8C0A}">
  <sheetPr codeName="Sheet1"/>
  <dimension ref="A1:R1004"/>
  <sheetViews>
    <sheetView showGridLines="0" tabSelected="1" zoomScale="80" zoomScaleNormal="80" workbookViewId="0">
      <selection activeCell="I2" sqref="I2"/>
    </sheetView>
  </sheetViews>
  <sheetFormatPr defaultColWidth="0" defaultRowHeight="15" x14ac:dyDescent="0.25"/>
  <cols>
    <col min="1" max="1" width="29.5703125" customWidth="1"/>
    <col min="2" max="2" width="19.140625" bestFit="1" customWidth="1"/>
    <col min="3" max="3" width="13.5703125" customWidth="1"/>
    <col min="4" max="4" width="13.7109375" customWidth="1"/>
    <col min="5" max="5" width="13.5703125" customWidth="1"/>
    <col min="6" max="6" width="12.42578125" customWidth="1"/>
    <col min="7" max="7" width="9.85546875" bestFit="1" customWidth="1"/>
    <col min="8" max="8" width="9.140625" customWidth="1"/>
    <col min="9" max="9" width="18" customWidth="1"/>
    <col min="10" max="10" width="19.140625" customWidth="1"/>
    <col min="11" max="11" width="9.140625" customWidth="1"/>
    <col min="12" max="12" width="21.140625" style="14" bestFit="1" customWidth="1"/>
    <col min="13" max="16" width="16" style="14" customWidth="1"/>
    <col min="17" max="17" width="9.140625" customWidth="1"/>
    <col min="19" max="16384" width="9.140625" hidden="1"/>
  </cols>
  <sheetData>
    <row r="1" spans="1:18" ht="21" x14ac:dyDescent="0.35">
      <c r="A1" s="47" t="s">
        <v>4</v>
      </c>
      <c r="B1" s="48">
        <f>B4*3500</f>
        <v>476149.09262699995</v>
      </c>
      <c r="C1" s="48">
        <f ca="1">B14*3500</f>
        <v>46463.247553843707</v>
      </c>
      <c r="D1" s="49">
        <f ca="1">C1/B1</f>
        <v>9.7581300213127858E-2</v>
      </c>
      <c r="E1" s="32"/>
      <c r="F1" s="30"/>
      <c r="G1" s="31"/>
      <c r="H1" s="25"/>
      <c r="I1" s="25"/>
      <c r="J1" s="25"/>
      <c r="K1" s="25"/>
      <c r="Q1" s="14"/>
      <c r="R1" s="40"/>
    </row>
    <row r="2" spans="1:18" x14ac:dyDescent="0.25">
      <c r="A2" s="12"/>
      <c r="G2" s="35"/>
      <c r="L2" s="26" t="s">
        <v>15</v>
      </c>
      <c r="M2" s="16">
        <f>AVERAGE(M5:M56)</f>
        <v>148.27594284748142</v>
      </c>
      <c r="N2" s="16">
        <f>AVERAGE(N5:N56)</f>
        <v>70.707581862817378</v>
      </c>
      <c r="O2" s="16">
        <f>AVERAGE(O5:O56)</f>
        <v>28.933651826797579</v>
      </c>
      <c r="P2" s="16">
        <f>AVERAGE(P5:P56)</f>
        <v>20.576923076923077</v>
      </c>
      <c r="R2" s="40"/>
    </row>
    <row r="3" spans="1:18" x14ac:dyDescent="0.25">
      <c r="A3" s="39"/>
      <c r="B3" s="26" t="s">
        <v>9</v>
      </c>
      <c r="C3" s="26" t="s">
        <v>20</v>
      </c>
      <c r="D3" s="26" t="s">
        <v>21</v>
      </c>
      <c r="E3" s="26" t="s">
        <v>22</v>
      </c>
      <c r="G3" s="43">
        <v>80</v>
      </c>
      <c r="J3" s="36"/>
      <c r="L3" s="26" t="s">
        <v>16</v>
      </c>
      <c r="M3" s="16">
        <f>_xlfn.STDEV.P(M5:M56)</f>
        <v>19.686092087282933</v>
      </c>
      <c r="N3" s="16">
        <f>_xlfn.STDEV.P(N5:N56)</f>
        <v>20.387586296069944</v>
      </c>
      <c r="O3" s="16">
        <f>_xlfn.STDEV.P(O5:O56)</f>
        <v>11.092610811651541</v>
      </c>
      <c r="P3" s="16">
        <f>_xlfn.STDEV.P(P5:P56)</f>
        <v>5.4255313594655759</v>
      </c>
    </row>
    <row r="4" spans="1:18" ht="15.75" x14ac:dyDescent="0.25">
      <c r="A4" s="39" t="s">
        <v>19</v>
      </c>
      <c r="B4" s="50">
        <v>136.04259789342856</v>
      </c>
      <c r="C4" s="41">
        <v>70.707581862817378</v>
      </c>
      <c r="D4" s="41">
        <v>29.847915756030471</v>
      </c>
      <c r="E4" s="41">
        <f>P2</f>
        <v>20.576923076923077</v>
      </c>
      <c r="G4" s="17" t="s">
        <v>17</v>
      </c>
      <c r="I4" s="5" t="s">
        <v>2</v>
      </c>
      <c r="J4" s="6" t="s">
        <v>3</v>
      </c>
      <c r="K4" s="23"/>
      <c r="L4" s="15"/>
      <c r="M4" s="15" t="s">
        <v>18</v>
      </c>
      <c r="N4" s="15" t="s">
        <v>5</v>
      </c>
      <c r="O4" s="15" t="s">
        <v>13</v>
      </c>
      <c r="P4" s="34" t="s">
        <v>6</v>
      </c>
    </row>
    <row r="5" spans="1:18" x14ac:dyDescent="0.25">
      <c r="A5" s="39" t="s">
        <v>16</v>
      </c>
      <c r="B5" s="41">
        <v>10</v>
      </c>
      <c r="C5" s="41">
        <v>10</v>
      </c>
      <c r="D5" s="41">
        <v>5</v>
      </c>
      <c r="E5" s="42">
        <v>15</v>
      </c>
      <c r="G5" s="29">
        <f>G3/100</f>
        <v>0.8</v>
      </c>
      <c r="I5" s="7">
        <v>1</v>
      </c>
      <c r="J5" s="8">
        <f ca="1">G8</f>
        <v>55.297684069519079</v>
      </c>
      <c r="K5" s="23">
        <v>0</v>
      </c>
      <c r="L5" s="15">
        <v>1</v>
      </c>
      <c r="M5" s="16">
        <v>146.18006789032304</v>
      </c>
      <c r="N5" s="16">
        <v>43.893812877804052</v>
      </c>
      <c r="O5" s="16">
        <v>35.832875253128137</v>
      </c>
      <c r="P5" s="16">
        <v>13</v>
      </c>
    </row>
    <row r="6" spans="1:18" x14ac:dyDescent="0.25">
      <c r="A6" s="45" t="s">
        <v>23</v>
      </c>
      <c r="B6" s="44">
        <f>B5/B4</f>
        <v>7.350638810818419E-2</v>
      </c>
      <c r="C6" s="13"/>
      <c r="D6" s="13"/>
      <c r="E6" s="13"/>
      <c r="I6" s="9">
        <v>2</v>
      </c>
      <c r="J6" s="10">
        <f t="dataTable" ref="J6:J1004" dt2D="0" dtr="0" r1="K4" ca="1"/>
        <v>19.73780967559577</v>
      </c>
      <c r="K6" s="23">
        <v>0</v>
      </c>
      <c r="L6" s="15">
        <v>2</v>
      </c>
      <c r="M6" s="16">
        <v>151.81929647281007</v>
      </c>
      <c r="N6" s="16">
        <v>49.644790736308835</v>
      </c>
      <c r="O6" s="16">
        <v>25.997077453606913</v>
      </c>
      <c r="P6" s="16">
        <v>13</v>
      </c>
    </row>
    <row r="7" spans="1:18" ht="15.75" thickBot="1" x14ac:dyDescent="0.3">
      <c r="G7" t="s">
        <v>1</v>
      </c>
      <c r="I7" s="7">
        <v>3</v>
      </c>
      <c r="J7" s="8">
        <v>19.01730348242863</v>
      </c>
      <c r="K7" s="23">
        <v>0</v>
      </c>
      <c r="L7" s="15">
        <v>3</v>
      </c>
      <c r="M7" s="16">
        <v>124.53095979192916</v>
      </c>
      <c r="N7" s="16">
        <v>64.745911884371864</v>
      </c>
      <c r="O7" s="16">
        <v>18.143836820709794</v>
      </c>
      <c r="P7" s="16">
        <v>22</v>
      </c>
      <c r="R7" s="24"/>
    </row>
    <row r="8" spans="1:18" ht="15.75" thickBot="1" x14ac:dyDescent="0.3">
      <c r="A8" s="3" t="s">
        <v>0</v>
      </c>
      <c r="B8" s="18">
        <f ca="1">_xlfn.NORM.INV(RAND(),B4,B5)</f>
        <v>141.4236499018638</v>
      </c>
      <c r="C8" s="18">
        <f ca="1">_xlfn.NORM.INV(RAND(),C4,C5)</f>
        <v>41.353547765180281</v>
      </c>
      <c r="D8" s="18">
        <f ca="1">_xlfn.NORM.INV(RAND(),D4,D5)</f>
        <v>29.772418067164445</v>
      </c>
      <c r="E8" s="18">
        <f ca="1">RANDBETWEEN(MIN(P5:P56),MAX(P5:P56))</f>
        <v>15</v>
      </c>
      <c r="G8" s="18">
        <f ca="1">B8-(C8+D8+E8)</f>
        <v>55.297684069519079</v>
      </c>
      <c r="I8" s="9">
        <v>4</v>
      </c>
      <c r="J8" s="10">
        <v>14.324235770511407</v>
      </c>
      <c r="K8" s="23">
        <v>0</v>
      </c>
      <c r="L8" s="15">
        <v>4</v>
      </c>
      <c r="M8" s="16">
        <v>154.06293469253376</v>
      </c>
      <c r="N8" s="16">
        <v>79.421685502358272</v>
      </c>
      <c r="O8" s="16">
        <v>10.355034204430492</v>
      </c>
      <c r="P8" s="16">
        <v>16</v>
      </c>
      <c r="R8" s="24"/>
    </row>
    <row r="9" spans="1:18" x14ac:dyDescent="0.25">
      <c r="I9" s="7">
        <v>5</v>
      </c>
      <c r="J9" s="8">
        <v>9.9234639836878387</v>
      </c>
      <c r="K9" s="23">
        <v>0</v>
      </c>
      <c r="L9" s="15">
        <v>5</v>
      </c>
      <c r="M9" s="16">
        <v>172.02295228685202</v>
      </c>
      <c r="N9" s="16">
        <v>87.944444752655187</v>
      </c>
      <c r="O9" s="16">
        <v>34.649754613912549</v>
      </c>
      <c r="P9" s="16">
        <v>14</v>
      </c>
      <c r="R9" s="24"/>
    </row>
    <row r="10" spans="1:18" ht="15.75" thickBot="1" x14ac:dyDescent="0.3">
      <c r="C10" s="13"/>
      <c r="I10" s="9">
        <v>6</v>
      </c>
      <c r="J10" s="10">
        <v>15.137412298551453</v>
      </c>
      <c r="K10" s="23">
        <v>0</v>
      </c>
      <c r="L10" s="15">
        <v>6</v>
      </c>
      <c r="M10" s="16">
        <v>97.21350514786009</v>
      </c>
      <c r="N10" s="16">
        <v>68.282182870399552</v>
      </c>
      <c r="O10" s="16">
        <v>33.902881695100945</v>
      </c>
      <c r="P10" s="16">
        <v>25</v>
      </c>
      <c r="R10" s="24"/>
    </row>
    <row r="11" spans="1:18" x14ac:dyDescent="0.25">
      <c r="A11" s="1" t="s">
        <v>8</v>
      </c>
      <c r="B11" s="37">
        <f ca="1">MIN(dashboard!$J$5:$J$1004)</f>
        <v>-32.930303446459135</v>
      </c>
      <c r="I11" s="7">
        <v>7</v>
      </c>
      <c r="J11" s="8">
        <v>2.4440401169496226</v>
      </c>
      <c r="K11" s="23">
        <v>0</v>
      </c>
      <c r="L11" s="15">
        <v>7</v>
      </c>
      <c r="M11" s="16">
        <v>147.4992143032415</v>
      </c>
      <c r="N11" s="16">
        <v>45.424802758254216</v>
      </c>
      <c r="O11" s="16">
        <v>35.017889191174604</v>
      </c>
      <c r="P11" s="16">
        <v>19</v>
      </c>
      <c r="R11" s="24"/>
    </row>
    <row r="12" spans="1:18" ht="15.75" thickBot="1" x14ac:dyDescent="0.3">
      <c r="A12" s="2" t="s">
        <v>7</v>
      </c>
      <c r="B12" s="38">
        <f ca="1">MAX(dashboard!$J$5:$J$1004)</f>
        <v>58.12103916847316</v>
      </c>
      <c r="I12" s="9">
        <v>8</v>
      </c>
      <c r="J12" s="10">
        <v>6.8959282620244267</v>
      </c>
      <c r="K12" s="23">
        <v>0</v>
      </c>
      <c r="L12" s="15">
        <v>8</v>
      </c>
      <c r="M12" s="16">
        <v>132.68375714820183</v>
      </c>
      <c r="N12" s="16">
        <v>44.433668329922313</v>
      </c>
      <c r="O12" s="16">
        <v>31.547143928958548</v>
      </c>
      <c r="P12" s="16">
        <v>19</v>
      </c>
      <c r="R12" s="24"/>
    </row>
    <row r="13" spans="1:18" ht="15.75" thickBot="1" x14ac:dyDescent="0.3">
      <c r="I13" s="7">
        <v>9</v>
      </c>
      <c r="J13" s="8">
        <v>21.203680688402869</v>
      </c>
      <c r="K13" s="23">
        <v>0</v>
      </c>
      <c r="L13" s="15">
        <v>9</v>
      </c>
      <c r="M13" s="16">
        <v>162.45671156073854</v>
      </c>
      <c r="N13" s="16">
        <v>47.371152815583287</v>
      </c>
      <c r="O13" s="16">
        <v>15.585232603803453</v>
      </c>
      <c r="P13" s="16">
        <v>25</v>
      </c>
      <c r="R13" s="24"/>
    </row>
    <row r="14" spans="1:18" x14ac:dyDescent="0.25">
      <c r="A14" s="1" t="s">
        <v>14</v>
      </c>
      <c r="B14" s="37">
        <f ca="1">AVERAGE(dashboard!$J$5:$J$1004)</f>
        <v>13.275213586812487</v>
      </c>
      <c r="C14" s="13"/>
      <c r="I14" s="9">
        <v>10</v>
      </c>
      <c r="J14" s="10">
        <v>19.4952122689525</v>
      </c>
      <c r="K14" s="23">
        <v>0</v>
      </c>
      <c r="L14" s="15">
        <v>10</v>
      </c>
      <c r="M14" s="16">
        <v>160.43085823302738</v>
      </c>
      <c r="N14" s="16">
        <v>95.140226094258068</v>
      </c>
      <c r="O14" s="16">
        <v>8.6716095603190162</v>
      </c>
      <c r="P14" s="16">
        <v>14</v>
      </c>
    </row>
    <row r="15" spans="1:18" ht="15.75" thickBot="1" x14ac:dyDescent="0.3">
      <c r="A15" s="2" t="s">
        <v>10</v>
      </c>
      <c r="B15" s="38">
        <f ca="1">_xlfn.STDEV.P(dashboard!$J$5:$J$1004)</f>
        <v>15.885205087085943</v>
      </c>
      <c r="I15" s="7">
        <v>11</v>
      </c>
      <c r="J15" s="8">
        <v>26.425625807453571</v>
      </c>
      <c r="K15" s="23">
        <v>0</v>
      </c>
      <c r="L15" s="15">
        <v>11</v>
      </c>
      <c r="M15" s="16">
        <v>142.09368845717944</v>
      </c>
      <c r="N15" s="16">
        <v>64.947321330581076</v>
      </c>
      <c r="O15" s="16">
        <v>36.758240637110326</v>
      </c>
      <c r="P15" s="16">
        <v>24</v>
      </c>
    </row>
    <row r="16" spans="1:18" x14ac:dyDescent="0.25">
      <c r="I16" s="9">
        <v>12</v>
      </c>
      <c r="J16" s="10">
        <v>17.097169058311096</v>
      </c>
      <c r="K16" s="23">
        <v>0</v>
      </c>
      <c r="L16" s="15">
        <v>12</v>
      </c>
      <c r="M16" s="16">
        <v>153.44163652708127</v>
      </c>
      <c r="N16" s="16">
        <v>63.827674711370058</v>
      </c>
      <c r="O16" s="16">
        <v>17.773832214801033</v>
      </c>
      <c r="P16" s="16">
        <v>25</v>
      </c>
    </row>
    <row r="17" spans="1:18" ht="15.75" thickBot="1" x14ac:dyDescent="0.3">
      <c r="I17" s="7">
        <v>13</v>
      </c>
      <c r="J17" s="8">
        <v>17.486463014815484</v>
      </c>
      <c r="K17" s="23">
        <v>0</v>
      </c>
      <c r="L17" s="15">
        <v>13</v>
      </c>
      <c r="M17" s="16">
        <v>140.44566538047278</v>
      </c>
      <c r="N17" s="16">
        <v>92.070498228892163</v>
      </c>
      <c r="O17" s="16">
        <v>41.692425703232026</v>
      </c>
      <c r="P17" s="16">
        <v>20</v>
      </c>
      <c r="R17" s="33"/>
    </row>
    <row r="18" spans="1:18" x14ac:dyDescent="0.25">
      <c r="A18" s="1" t="s">
        <v>12</v>
      </c>
      <c r="B18" s="20">
        <f ca="1">ROUND(B14/B15,1)</f>
        <v>0.8</v>
      </c>
      <c r="C18" s="28"/>
      <c r="I18" s="9">
        <v>14</v>
      </c>
      <c r="J18" s="10">
        <v>16.282101908645785</v>
      </c>
      <c r="K18" s="23">
        <v>0</v>
      </c>
      <c r="L18" s="15">
        <v>14</v>
      </c>
      <c r="M18" s="16">
        <v>144.29484386138054</v>
      </c>
      <c r="N18" s="16">
        <v>60.881866857992364</v>
      </c>
      <c r="O18" s="16">
        <v>29.454398513389467</v>
      </c>
      <c r="P18" s="16">
        <v>16</v>
      </c>
    </row>
    <row r="19" spans="1:18" ht="15.75" thickBot="1" x14ac:dyDescent="0.3">
      <c r="A19" s="21" t="s">
        <v>11</v>
      </c>
      <c r="B19" s="22">
        <f ca="1">ROUND(COUNTIF($J$5:$J$1004,"&gt;0")/COUNT($I$5:$I$1004),2)</f>
        <v>0.8</v>
      </c>
      <c r="C19" s="28"/>
      <c r="I19" s="7">
        <v>15</v>
      </c>
      <c r="J19" s="8">
        <v>0.46413191444784729</v>
      </c>
      <c r="K19" s="23">
        <v>0</v>
      </c>
      <c r="L19" s="15">
        <v>15</v>
      </c>
      <c r="M19" s="16">
        <v>148.76194970995829</v>
      </c>
      <c r="N19" s="16">
        <v>60.24087084042435</v>
      </c>
      <c r="O19" s="16">
        <v>21.308391217652904</v>
      </c>
      <c r="P19" s="16">
        <v>25</v>
      </c>
    </row>
    <row r="20" spans="1:18" x14ac:dyDescent="0.25">
      <c r="B20" s="46" t="s">
        <v>24</v>
      </c>
      <c r="I20" s="9">
        <v>16</v>
      </c>
      <c r="J20" s="10">
        <v>25.942492734306015</v>
      </c>
      <c r="K20" s="23">
        <v>0</v>
      </c>
      <c r="L20" s="15">
        <v>16</v>
      </c>
      <c r="M20" s="16">
        <v>130.82518202746942</v>
      </c>
      <c r="N20" s="16">
        <v>105.68380523377709</v>
      </c>
      <c r="O20" s="16">
        <v>22.100127180669681</v>
      </c>
      <c r="P20" s="16">
        <v>15</v>
      </c>
    </row>
    <row r="21" spans="1:18" x14ac:dyDescent="0.25">
      <c r="A21" s="19"/>
      <c r="I21" s="7">
        <v>17</v>
      </c>
      <c r="J21" s="8">
        <v>23.118986650083315</v>
      </c>
      <c r="K21" s="23">
        <v>0</v>
      </c>
      <c r="L21" s="15">
        <v>17</v>
      </c>
      <c r="M21" s="16">
        <v>163.00557183329249</v>
      </c>
      <c r="N21" s="16">
        <v>104.25962045114332</v>
      </c>
      <c r="O21" s="16">
        <v>23.395519342340862</v>
      </c>
      <c r="P21" s="16">
        <v>27</v>
      </c>
    </row>
    <row r="22" spans="1:18" x14ac:dyDescent="0.25">
      <c r="I22" s="9">
        <v>18</v>
      </c>
      <c r="J22" s="10">
        <v>29.645531306048156</v>
      </c>
      <c r="K22" s="23">
        <v>0</v>
      </c>
      <c r="L22" s="15">
        <v>18</v>
      </c>
      <c r="M22" s="16">
        <v>134.87905900632833</v>
      </c>
      <c r="N22" s="16">
        <v>60.395524740057638</v>
      </c>
      <c r="O22" s="16">
        <v>10.118202833367612</v>
      </c>
      <c r="P22" s="16">
        <v>24</v>
      </c>
    </row>
    <row r="23" spans="1:18" x14ac:dyDescent="0.25">
      <c r="I23" s="7">
        <v>19</v>
      </c>
      <c r="J23" s="8">
        <v>5.2748039174900612</v>
      </c>
      <c r="K23" s="23">
        <v>0</v>
      </c>
      <c r="L23" s="15">
        <v>19</v>
      </c>
      <c r="M23" s="16">
        <v>161.88311491816606</v>
      </c>
      <c r="N23" s="16">
        <v>89.839058691815652</v>
      </c>
      <c r="O23" s="16">
        <v>26.498232753116191</v>
      </c>
      <c r="P23" s="16">
        <v>23</v>
      </c>
    </row>
    <row r="24" spans="1:18" x14ac:dyDescent="0.25">
      <c r="I24" s="9">
        <v>20</v>
      </c>
      <c r="J24" s="10">
        <v>19.905256830239296</v>
      </c>
      <c r="K24" s="23">
        <v>0</v>
      </c>
      <c r="L24" s="15">
        <v>20</v>
      </c>
      <c r="M24" s="16">
        <v>132.28720953917167</v>
      </c>
      <c r="N24" s="16">
        <v>44.228505940905833</v>
      </c>
      <c r="O24" s="16">
        <v>24.374582360918428</v>
      </c>
      <c r="P24" s="16">
        <v>15</v>
      </c>
    </row>
    <row r="25" spans="1:18" x14ac:dyDescent="0.25">
      <c r="I25" s="7">
        <v>21</v>
      </c>
      <c r="J25" s="8">
        <v>35.627344848775522</v>
      </c>
      <c r="K25" s="23">
        <v>0</v>
      </c>
      <c r="L25" s="15">
        <v>21</v>
      </c>
      <c r="M25" s="16">
        <v>139.06260819533253</v>
      </c>
      <c r="N25" s="16">
        <v>78.537626379021532</v>
      </c>
      <c r="O25" s="16">
        <v>31.944366235369177</v>
      </c>
      <c r="P25" s="16">
        <v>23</v>
      </c>
    </row>
    <row r="26" spans="1:18" x14ac:dyDescent="0.25">
      <c r="I26" s="9">
        <v>22</v>
      </c>
      <c r="J26" s="10">
        <v>33.035153867833799</v>
      </c>
      <c r="K26" s="23">
        <v>0</v>
      </c>
      <c r="L26" s="15">
        <v>22</v>
      </c>
      <c r="M26" s="16">
        <v>137.89372467886719</v>
      </c>
      <c r="N26" s="16">
        <v>63.371179933687138</v>
      </c>
      <c r="O26" s="16">
        <v>41.695067903825858</v>
      </c>
      <c r="P26" s="16">
        <v>21</v>
      </c>
    </row>
    <row r="27" spans="1:18" x14ac:dyDescent="0.25">
      <c r="I27" s="7">
        <v>23</v>
      </c>
      <c r="J27" s="8">
        <v>38.980705025578359</v>
      </c>
      <c r="K27" s="23">
        <v>0</v>
      </c>
      <c r="L27" s="15">
        <v>23</v>
      </c>
      <c r="M27" s="16">
        <v>127.86945967745073</v>
      </c>
      <c r="N27" s="16">
        <v>98.00582345949698</v>
      </c>
      <c r="O27" s="16">
        <v>32.886063244539812</v>
      </c>
      <c r="P27" s="16">
        <v>14</v>
      </c>
    </row>
    <row r="28" spans="1:18" x14ac:dyDescent="0.25">
      <c r="I28" s="9">
        <v>24</v>
      </c>
      <c r="J28" s="10">
        <v>44.390288469671674</v>
      </c>
      <c r="K28" s="23">
        <v>0</v>
      </c>
      <c r="L28" s="15">
        <v>24</v>
      </c>
      <c r="M28" s="16">
        <v>118.54504478240149</v>
      </c>
      <c r="N28" s="16">
        <v>75.643466446860316</v>
      </c>
      <c r="O28" s="16">
        <v>34.261415364863993</v>
      </c>
      <c r="P28" s="16">
        <v>29</v>
      </c>
    </row>
    <row r="29" spans="1:18" x14ac:dyDescent="0.25">
      <c r="I29" s="7">
        <v>25</v>
      </c>
      <c r="J29" s="8">
        <v>11.505559148876614</v>
      </c>
      <c r="K29" s="23">
        <v>0</v>
      </c>
      <c r="L29" s="15">
        <v>25</v>
      </c>
      <c r="M29" s="16">
        <v>168.25246450367939</v>
      </c>
      <c r="N29" s="16">
        <v>83.717779640612349</v>
      </c>
      <c r="O29" s="16">
        <v>25.69545634665446</v>
      </c>
      <c r="P29" s="16">
        <v>14</v>
      </c>
    </row>
    <row r="30" spans="1:18" x14ac:dyDescent="0.25">
      <c r="I30" s="9">
        <v>26</v>
      </c>
      <c r="J30" s="10">
        <v>19.963196586666157</v>
      </c>
      <c r="K30" s="23">
        <v>0</v>
      </c>
      <c r="L30" s="15">
        <v>26</v>
      </c>
      <c r="M30" s="16">
        <v>186.84815087038425</v>
      </c>
      <c r="N30" s="16">
        <v>79.178931871945778</v>
      </c>
      <c r="O30" s="16">
        <v>51.488335972676154</v>
      </c>
      <c r="P30" s="16">
        <v>22</v>
      </c>
    </row>
    <row r="31" spans="1:18" x14ac:dyDescent="0.25">
      <c r="I31" s="7">
        <v>27</v>
      </c>
      <c r="J31" s="8">
        <v>18.353993868599204</v>
      </c>
      <c r="K31" s="23">
        <v>0</v>
      </c>
      <c r="L31" s="15">
        <v>27</v>
      </c>
      <c r="M31" s="16">
        <v>143.49529092329826</v>
      </c>
      <c r="N31" s="16">
        <v>68.581168914720834</v>
      </c>
      <c r="O31" s="16">
        <v>28.574102480387104</v>
      </c>
      <c r="P31" s="16">
        <v>25</v>
      </c>
    </row>
    <row r="32" spans="1:18" x14ac:dyDescent="0.25">
      <c r="I32" s="9">
        <v>28</v>
      </c>
      <c r="J32" s="10">
        <v>10.537558210754383</v>
      </c>
      <c r="K32" s="23">
        <v>0</v>
      </c>
      <c r="L32" s="15">
        <v>28</v>
      </c>
      <c r="M32" s="16">
        <v>187.45300010831011</v>
      </c>
      <c r="N32" s="16">
        <v>101.55574610398914</v>
      </c>
      <c r="O32" s="16">
        <v>57.003050935948259</v>
      </c>
      <c r="P32" s="16">
        <v>27</v>
      </c>
    </row>
    <row r="33" spans="9:16" x14ac:dyDescent="0.25">
      <c r="I33" s="7">
        <v>29</v>
      </c>
      <c r="J33" s="8">
        <v>15.843394284637867</v>
      </c>
      <c r="K33" s="23">
        <v>0</v>
      </c>
      <c r="L33" s="15">
        <v>29</v>
      </c>
      <c r="M33" s="16">
        <v>106.43733839642323</v>
      </c>
      <c r="N33" s="16">
        <v>61.178113533880868</v>
      </c>
      <c r="O33" s="16">
        <v>33.632894186237067</v>
      </c>
      <c r="P33" s="16">
        <v>20</v>
      </c>
    </row>
    <row r="34" spans="9:16" x14ac:dyDescent="0.25">
      <c r="I34" s="9">
        <v>30</v>
      </c>
      <c r="J34" s="10">
        <v>49.294384564389716</v>
      </c>
      <c r="K34" s="23">
        <v>0</v>
      </c>
      <c r="L34" s="15">
        <v>30</v>
      </c>
      <c r="M34" s="16">
        <v>159.58810393702694</v>
      </c>
      <c r="N34" s="16">
        <v>37.472569322846702</v>
      </c>
      <c r="O34" s="16">
        <v>23.682308529636764</v>
      </c>
      <c r="P34" s="16">
        <v>15</v>
      </c>
    </row>
    <row r="35" spans="9:16" x14ac:dyDescent="0.25">
      <c r="I35" s="7">
        <v>31</v>
      </c>
      <c r="J35" s="8">
        <v>4.11346451671875</v>
      </c>
      <c r="K35" s="23">
        <v>0</v>
      </c>
      <c r="L35" s="15">
        <v>31</v>
      </c>
      <c r="M35" s="16">
        <v>163.5327633859676</v>
      </c>
      <c r="N35" s="16">
        <v>46.152659735565372</v>
      </c>
      <c r="O35" s="16">
        <v>28.328909129669086</v>
      </c>
      <c r="P35" s="16">
        <v>27</v>
      </c>
    </row>
    <row r="36" spans="9:16" x14ac:dyDescent="0.25">
      <c r="I36" s="9">
        <v>32</v>
      </c>
      <c r="J36" s="10">
        <v>28.289095725810668</v>
      </c>
      <c r="K36" s="23">
        <v>0</v>
      </c>
      <c r="L36" s="15">
        <v>32</v>
      </c>
      <c r="M36" s="16">
        <v>137.14092457367909</v>
      </c>
      <c r="N36" s="16">
        <v>42.997383635943635</v>
      </c>
      <c r="O36" s="16">
        <v>20.489988995063666</v>
      </c>
      <c r="P36" s="16">
        <v>26</v>
      </c>
    </row>
    <row r="37" spans="9:16" x14ac:dyDescent="0.25">
      <c r="I37" s="7">
        <v>33</v>
      </c>
      <c r="J37" s="8">
        <v>13.805227164952868</v>
      </c>
      <c r="K37" s="23">
        <v>0</v>
      </c>
      <c r="L37" s="15">
        <v>33</v>
      </c>
      <c r="M37" s="16">
        <v>128.31352013688704</v>
      </c>
      <c r="N37" s="16">
        <v>62.153004506211687</v>
      </c>
      <c r="O37" s="16">
        <v>28.233103643292988</v>
      </c>
      <c r="P37" s="16">
        <v>14</v>
      </c>
    </row>
    <row r="38" spans="9:16" x14ac:dyDescent="0.25">
      <c r="I38" s="9">
        <v>34</v>
      </c>
      <c r="J38" s="10">
        <v>16.020385039629645</v>
      </c>
      <c r="K38" s="23">
        <v>0</v>
      </c>
      <c r="L38" s="15">
        <v>34</v>
      </c>
      <c r="M38" s="16">
        <v>118.18612603167496</v>
      </c>
      <c r="N38" s="16">
        <v>93.46055584900374</v>
      </c>
      <c r="O38" s="16">
        <v>11.799760687535031</v>
      </c>
      <c r="P38" s="16">
        <v>19</v>
      </c>
    </row>
    <row r="39" spans="9:16" x14ac:dyDescent="0.25">
      <c r="I39" s="7">
        <v>35</v>
      </c>
      <c r="J39" s="8">
        <v>20.609490439689978</v>
      </c>
      <c r="K39" s="23">
        <v>0</v>
      </c>
      <c r="L39" s="15">
        <v>35</v>
      </c>
      <c r="M39" s="16">
        <v>157.48955500775344</v>
      </c>
      <c r="N39" s="16">
        <v>70.499053499671206</v>
      </c>
      <c r="O39" s="16">
        <v>35.750181862223805</v>
      </c>
      <c r="P39" s="16">
        <v>17</v>
      </c>
    </row>
    <row r="40" spans="9:16" x14ac:dyDescent="0.25">
      <c r="I40" s="9">
        <v>36</v>
      </c>
      <c r="J40" s="10">
        <v>-19.940051146906001</v>
      </c>
      <c r="K40" s="23">
        <v>0</v>
      </c>
      <c r="L40" s="15">
        <v>36</v>
      </c>
      <c r="M40" s="16">
        <v>157.45407977621375</v>
      </c>
      <c r="N40" s="16">
        <v>70.048612052079704</v>
      </c>
      <c r="O40" s="16">
        <v>22.187805434923618</v>
      </c>
      <c r="P40" s="16">
        <v>15</v>
      </c>
    </row>
    <row r="41" spans="9:16" x14ac:dyDescent="0.25">
      <c r="I41" s="7">
        <v>37</v>
      </c>
      <c r="J41" s="8">
        <v>23.315659060161337</v>
      </c>
      <c r="K41" s="23">
        <v>0</v>
      </c>
      <c r="L41" s="15">
        <v>37</v>
      </c>
      <c r="M41" s="16">
        <v>124.55548280747622</v>
      </c>
      <c r="N41" s="16">
        <v>29.753207177424791</v>
      </c>
      <c r="O41" s="16">
        <v>18.541178712195581</v>
      </c>
      <c r="P41" s="16">
        <v>15</v>
      </c>
    </row>
    <row r="42" spans="9:16" x14ac:dyDescent="0.25">
      <c r="I42" s="9">
        <v>38</v>
      </c>
      <c r="J42" s="10">
        <v>17.442299116554523</v>
      </c>
      <c r="K42" s="23">
        <v>0</v>
      </c>
      <c r="L42" s="15">
        <v>38</v>
      </c>
      <c r="M42" s="16">
        <v>155.13633153279727</v>
      </c>
      <c r="N42" s="16">
        <v>101.52527018370478</v>
      </c>
      <c r="O42" s="16">
        <v>39.549124786600103</v>
      </c>
      <c r="P42" s="16">
        <v>14</v>
      </c>
    </row>
    <row r="43" spans="9:16" x14ac:dyDescent="0.25">
      <c r="I43" s="7">
        <v>39</v>
      </c>
      <c r="J43" s="8">
        <v>9.3347218856642087</v>
      </c>
      <c r="K43" s="23">
        <v>0</v>
      </c>
      <c r="L43" s="15">
        <v>39</v>
      </c>
      <c r="M43" s="16">
        <v>172.13017908064376</v>
      </c>
      <c r="N43" s="16">
        <v>67.553718898166494</v>
      </c>
      <c r="O43" s="16">
        <v>19.994610585336403</v>
      </c>
      <c r="P43" s="16">
        <v>18</v>
      </c>
    </row>
    <row r="44" spans="9:16" x14ac:dyDescent="0.25">
      <c r="I44" s="9">
        <v>40</v>
      </c>
      <c r="J44" s="10">
        <v>25.74822100387118</v>
      </c>
      <c r="K44" s="23">
        <v>0</v>
      </c>
      <c r="L44" s="15">
        <v>40</v>
      </c>
      <c r="M44" s="16">
        <v>132.15662045781164</v>
      </c>
      <c r="N44" s="16">
        <v>63.204162061382746</v>
      </c>
      <c r="O44" s="16">
        <v>23.198646057237283</v>
      </c>
      <c r="P44" s="16">
        <v>29</v>
      </c>
    </row>
    <row r="45" spans="9:16" x14ac:dyDescent="0.25">
      <c r="I45" s="7">
        <v>41</v>
      </c>
      <c r="J45" s="8">
        <v>25.202460053130608</v>
      </c>
      <c r="K45" s="23">
        <v>0</v>
      </c>
      <c r="L45" s="15">
        <v>41</v>
      </c>
      <c r="M45" s="16">
        <v>143.40215837625547</v>
      </c>
      <c r="N45" s="16">
        <v>73.94040886403171</v>
      </c>
      <c r="O45" s="16">
        <v>17.426965595647012</v>
      </c>
      <c r="P45" s="16">
        <v>27</v>
      </c>
    </row>
    <row r="46" spans="9:16" x14ac:dyDescent="0.25">
      <c r="I46" s="9">
        <v>42</v>
      </c>
      <c r="J46" s="10">
        <v>21.104636222438558</v>
      </c>
      <c r="K46" s="23">
        <v>0</v>
      </c>
      <c r="L46" s="15">
        <v>42</v>
      </c>
      <c r="M46" s="16">
        <v>150.12881667842336</v>
      </c>
      <c r="N46" s="16">
        <v>115.46625521424866</v>
      </c>
      <c r="O46" s="16">
        <v>25.004959023531271</v>
      </c>
      <c r="P46" s="16">
        <v>30</v>
      </c>
    </row>
    <row r="47" spans="9:16" x14ac:dyDescent="0.25">
      <c r="I47" s="7">
        <v>43</v>
      </c>
      <c r="J47" s="8">
        <v>12.614092210575308</v>
      </c>
      <c r="K47" s="23">
        <v>0</v>
      </c>
      <c r="L47" s="15">
        <v>43</v>
      </c>
      <c r="M47" s="16">
        <v>152.42879046938998</v>
      </c>
      <c r="N47" s="16">
        <v>82.22124020451345</v>
      </c>
      <c r="O47" s="16">
        <v>39.765740330006537</v>
      </c>
      <c r="P47" s="16">
        <v>15</v>
      </c>
    </row>
    <row r="48" spans="9:16" x14ac:dyDescent="0.25">
      <c r="I48" s="9">
        <v>44</v>
      </c>
      <c r="J48" s="10">
        <v>39.057648278716073</v>
      </c>
      <c r="K48" s="23">
        <v>0</v>
      </c>
      <c r="L48" s="15">
        <v>44</v>
      </c>
      <c r="M48" s="16">
        <v>142.72396371242939</v>
      </c>
      <c r="N48" s="16">
        <v>55.07279468078675</v>
      </c>
      <c r="O48" s="16">
        <v>28.067412055381766</v>
      </c>
      <c r="P48" s="16">
        <v>28</v>
      </c>
    </row>
    <row r="49" spans="9:16" x14ac:dyDescent="0.25">
      <c r="I49" s="7">
        <v>45</v>
      </c>
      <c r="J49" s="8">
        <v>28.930847901595726</v>
      </c>
      <c r="K49" s="23">
        <v>0</v>
      </c>
      <c r="L49" s="15">
        <v>45</v>
      </c>
      <c r="M49" s="16">
        <v>147.35444131143447</v>
      </c>
      <c r="N49" s="16">
        <v>68.394771876531863</v>
      </c>
      <c r="O49" s="16">
        <v>25.345847417486628</v>
      </c>
      <c r="P49" s="16">
        <v>23</v>
      </c>
    </row>
    <row r="50" spans="9:16" x14ac:dyDescent="0.25">
      <c r="I50" s="9">
        <v>46</v>
      </c>
      <c r="J50" s="10">
        <v>0.34422345976952329</v>
      </c>
      <c r="K50" s="23">
        <v>0</v>
      </c>
      <c r="L50" s="15">
        <v>46</v>
      </c>
      <c r="M50" s="16">
        <v>150.85937383654633</v>
      </c>
      <c r="N50" s="16">
        <v>72.031079256480538</v>
      </c>
      <c r="O50" s="16">
        <v>36.851064691026174</v>
      </c>
      <c r="P50" s="16">
        <v>28</v>
      </c>
    </row>
    <row r="51" spans="9:16" x14ac:dyDescent="0.25">
      <c r="I51" s="7">
        <v>47</v>
      </c>
      <c r="J51" s="8">
        <v>23.528308195306494</v>
      </c>
      <c r="K51" s="23">
        <v>0</v>
      </c>
      <c r="L51" s="15">
        <v>47</v>
      </c>
      <c r="M51" s="16">
        <v>175.73191584886666</v>
      </c>
      <c r="N51" s="16">
        <v>107.58332169587072</v>
      </c>
      <c r="O51" s="16">
        <v>19.319149459197263</v>
      </c>
      <c r="P51" s="16">
        <v>15</v>
      </c>
    </row>
    <row r="52" spans="9:16" x14ac:dyDescent="0.25">
      <c r="I52" s="9">
        <v>48</v>
      </c>
      <c r="J52" s="10">
        <v>22.566746169881142</v>
      </c>
      <c r="K52" s="23">
        <v>0</v>
      </c>
      <c r="L52" s="15">
        <v>48</v>
      </c>
      <c r="M52" s="16">
        <v>160.43971462924185</v>
      </c>
      <c r="N52" s="16">
        <v>77.893653326310698</v>
      </c>
      <c r="O52" s="16">
        <v>43.487782929295548</v>
      </c>
      <c r="P52" s="16">
        <v>23</v>
      </c>
    </row>
    <row r="53" spans="9:16" x14ac:dyDescent="0.25">
      <c r="I53" s="7">
        <v>49</v>
      </c>
      <c r="J53" s="8">
        <v>-8.1762272337250295</v>
      </c>
      <c r="K53" s="23">
        <v>0</v>
      </c>
      <c r="L53" s="15">
        <v>49</v>
      </c>
      <c r="M53" s="16">
        <v>157.47731883349067</v>
      </c>
      <c r="N53" s="16">
        <v>95.834251010534899</v>
      </c>
      <c r="O53" s="16">
        <v>64.185072057062612</v>
      </c>
      <c r="P53" s="16">
        <v>15</v>
      </c>
    </row>
    <row r="54" spans="9:16" x14ac:dyDescent="0.25">
      <c r="I54" s="9">
        <v>50</v>
      </c>
      <c r="J54" s="10">
        <v>6.0984854500944152E-2</v>
      </c>
      <c r="K54" s="23">
        <v>0</v>
      </c>
      <c r="L54" s="15">
        <v>50</v>
      </c>
      <c r="M54" s="16">
        <v>175.33943381186984</v>
      </c>
      <c r="N54" s="16">
        <v>53.726608939204468</v>
      </c>
      <c r="O54" s="16">
        <v>29.740462457196493</v>
      </c>
      <c r="P54" s="16">
        <v>13</v>
      </c>
    </row>
    <row r="55" spans="9:16" x14ac:dyDescent="0.25">
      <c r="I55" s="7">
        <v>51</v>
      </c>
      <c r="J55" s="8">
        <v>2.1632351792599422</v>
      </c>
      <c r="K55" s="23">
        <v>0</v>
      </c>
      <c r="L55" s="15">
        <v>51</v>
      </c>
      <c r="M55" s="16">
        <v>134.65166303566664</v>
      </c>
      <c r="N55" s="16">
        <v>48.259549337823728</v>
      </c>
      <c r="O55" s="16">
        <v>37.009803268507845</v>
      </c>
      <c r="P55" s="16">
        <v>28</v>
      </c>
    </row>
    <row r="56" spans="9:16" x14ac:dyDescent="0.25">
      <c r="I56" s="9">
        <v>52</v>
      </c>
      <c r="J56" s="10">
        <v>4.6006794088176264</v>
      </c>
      <c r="K56" s="23">
        <v>0</v>
      </c>
      <c r="L56" s="15">
        <v>52</v>
      </c>
      <c r="M56" s="16">
        <v>197.45248987332374</v>
      </c>
      <c r="N56" s="16">
        <v>59.102863605075164</v>
      </c>
      <c r="O56" s="16">
        <v>26.231976533175757</v>
      </c>
      <c r="P56" s="16">
        <v>27</v>
      </c>
    </row>
    <row r="57" spans="9:16" x14ac:dyDescent="0.25">
      <c r="I57" s="7">
        <v>53</v>
      </c>
      <c r="J57" s="8">
        <v>10.866290366434924</v>
      </c>
      <c r="K57" s="23">
        <v>0</v>
      </c>
      <c r="M57"/>
      <c r="N57"/>
      <c r="O57"/>
      <c r="P57"/>
    </row>
    <row r="58" spans="9:16" x14ac:dyDescent="0.25">
      <c r="I58" s="9">
        <v>54</v>
      </c>
      <c r="J58" s="10">
        <v>41.96329293386313</v>
      </c>
      <c r="K58" s="23">
        <v>0</v>
      </c>
      <c r="M58"/>
      <c r="N58"/>
      <c r="O58"/>
      <c r="P58"/>
    </row>
    <row r="59" spans="9:16" x14ac:dyDescent="0.25">
      <c r="I59" s="7">
        <v>55</v>
      </c>
      <c r="J59" s="8">
        <v>23.263032248961707</v>
      </c>
      <c r="K59" s="23">
        <v>0</v>
      </c>
      <c r="M59"/>
      <c r="N59"/>
      <c r="O59"/>
      <c r="P59"/>
    </row>
    <row r="60" spans="9:16" x14ac:dyDescent="0.25">
      <c r="I60" s="9">
        <v>56</v>
      </c>
      <c r="J60" s="10">
        <v>3.5262949474005154</v>
      </c>
      <c r="K60" s="23">
        <v>0</v>
      </c>
      <c r="M60"/>
      <c r="N60"/>
      <c r="O60"/>
      <c r="P60"/>
    </row>
    <row r="61" spans="9:16" x14ac:dyDescent="0.25">
      <c r="I61" s="7">
        <v>57</v>
      </c>
      <c r="J61" s="8">
        <v>8.184155398274271</v>
      </c>
      <c r="K61" s="23">
        <v>0</v>
      </c>
      <c r="M61"/>
      <c r="N61"/>
      <c r="O61"/>
      <c r="P61"/>
    </row>
    <row r="62" spans="9:16" x14ac:dyDescent="0.25">
      <c r="I62" s="9">
        <v>58</v>
      </c>
      <c r="J62" s="10">
        <v>8.26487381853687</v>
      </c>
      <c r="K62" s="23">
        <v>0</v>
      </c>
      <c r="M62"/>
      <c r="N62"/>
      <c r="O62"/>
      <c r="P62"/>
    </row>
    <row r="63" spans="9:16" x14ac:dyDescent="0.25">
      <c r="I63" s="7">
        <v>59</v>
      </c>
      <c r="J63" s="8">
        <v>-24.645452896322951</v>
      </c>
      <c r="K63" s="23">
        <v>0</v>
      </c>
      <c r="M63"/>
      <c r="N63"/>
      <c r="O63"/>
      <c r="P63"/>
    </row>
    <row r="64" spans="9:16" x14ac:dyDescent="0.25">
      <c r="I64" s="9">
        <v>60</v>
      </c>
      <c r="J64" s="10">
        <v>0.49548317419893806</v>
      </c>
      <c r="K64" s="23">
        <v>0</v>
      </c>
      <c r="M64"/>
      <c r="N64"/>
      <c r="O64"/>
      <c r="P64"/>
    </row>
    <row r="65" spans="9:16" x14ac:dyDescent="0.25">
      <c r="I65" s="7">
        <v>61</v>
      </c>
      <c r="J65" s="8">
        <v>3.6392731485406102</v>
      </c>
      <c r="K65" s="23">
        <v>0</v>
      </c>
      <c r="M65"/>
      <c r="N65"/>
      <c r="O65"/>
      <c r="P65"/>
    </row>
    <row r="66" spans="9:16" x14ac:dyDescent="0.25">
      <c r="I66" s="9">
        <v>62</v>
      </c>
      <c r="J66" s="10">
        <v>-8.5160583931971701</v>
      </c>
      <c r="K66" s="23">
        <v>0</v>
      </c>
      <c r="M66"/>
      <c r="N66"/>
      <c r="O66"/>
      <c r="P66"/>
    </row>
    <row r="67" spans="9:16" x14ac:dyDescent="0.25">
      <c r="I67" s="7">
        <v>63</v>
      </c>
      <c r="J67" s="8">
        <v>-3.2629351244082443</v>
      </c>
      <c r="K67" s="23">
        <v>0</v>
      </c>
      <c r="M67"/>
      <c r="N67"/>
      <c r="O67"/>
      <c r="P67"/>
    </row>
    <row r="68" spans="9:16" x14ac:dyDescent="0.25">
      <c r="I68" s="9">
        <v>64</v>
      </c>
      <c r="J68" s="10">
        <v>6.2094422199667179</v>
      </c>
      <c r="K68" s="23">
        <v>0</v>
      </c>
      <c r="M68"/>
      <c r="N68"/>
      <c r="O68"/>
      <c r="P68"/>
    </row>
    <row r="69" spans="9:16" x14ac:dyDescent="0.25">
      <c r="I69" s="7">
        <v>65</v>
      </c>
      <c r="J69" s="8">
        <v>26.115134389146107</v>
      </c>
      <c r="K69" s="23">
        <v>0</v>
      </c>
      <c r="M69"/>
      <c r="N69"/>
      <c r="O69"/>
      <c r="P69"/>
    </row>
    <row r="70" spans="9:16" x14ac:dyDescent="0.25">
      <c r="I70" s="9">
        <v>66</v>
      </c>
      <c r="J70" s="10">
        <v>-5.637209371339182</v>
      </c>
      <c r="K70" s="23">
        <v>0</v>
      </c>
      <c r="M70"/>
      <c r="N70"/>
      <c r="O70"/>
      <c r="P70"/>
    </row>
    <row r="71" spans="9:16" x14ac:dyDescent="0.25">
      <c r="I71" s="7">
        <v>67</v>
      </c>
      <c r="J71" s="8">
        <v>19.364485200710604</v>
      </c>
      <c r="K71" s="23">
        <v>0</v>
      </c>
      <c r="M71"/>
      <c r="N71"/>
      <c r="O71"/>
      <c r="P71"/>
    </row>
    <row r="72" spans="9:16" x14ac:dyDescent="0.25">
      <c r="I72" s="9">
        <v>68</v>
      </c>
      <c r="J72" s="10">
        <v>-16.701571536417745</v>
      </c>
      <c r="K72" s="23">
        <v>0</v>
      </c>
      <c r="M72"/>
      <c r="N72"/>
      <c r="O72"/>
      <c r="P72"/>
    </row>
    <row r="73" spans="9:16" x14ac:dyDescent="0.25">
      <c r="I73" s="7">
        <v>69</v>
      </c>
      <c r="J73" s="8">
        <v>-14.943099369801672</v>
      </c>
      <c r="K73" s="23">
        <v>0</v>
      </c>
      <c r="M73"/>
      <c r="N73"/>
      <c r="O73"/>
      <c r="P73"/>
    </row>
    <row r="74" spans="9:16" x14ac:dyDescent="0.25">
      <c r="I74" s="9">
        <v>70</v>
      </c>
      <c r="J74" s="10">
        <v>13.530261627365888</v>
      </c>
      <c r="K74" s="23">
        <v>0</v>
      </c>
      <c r="M74"/>
      <c r="N74"/>
      <c r="O74"/>
      <c r="P74"/>
    </row>
    <row r="75" spans="9:16" x14ac:dyDescent="0.25">
      <c r="I75" s="7">
        <v>71</v>
      </c>
      <c r="J75" s="8">
        <v>23.519557297853055</v>
      </c>
      <c r="K75" s="23">
        <v>0</v>
      </c>
      <c r="M75"/>
      <c r="N75"/>
      <c r="O75"/>
      <c r="P75"/>
    </row>
    <row r="76" spans="9:16" x14ac:dyDescent="0.25">
      <c r="I76" s="9">
        <v>72</v>
      </c>
      <c r="J76" s="10">
        <v>27.509925622312636</v>
      </c>
      <c r="K76" s="23">
        <v>0</v>
      </c>
      <c r="M76"/>
      <c r="N76"/>
      <c r="O76"/>
      <c r="P76"/>
    </row>
    <row r="77" spans="9:16" x14ac:dyDescent="0.25">
      <c r="I77" s="7">
        <v>73</v>
      </c>
      <c r="J77" s="8">
        <v>8.2632140266800889</v>
      </c>
      <c r="K77" s="23">
        <v>0</v>
      </c>
      <c r="M77"/>
      <c r="N77"/>
      <c r="O77"/>
      <c r="P77"/>
    </row>
    <row r="78" spans="9:16" x14ac:dyDescent="0.25">
      <c r="I78" s="9">
        <v>74</v>
      </c>
      <c r="J78" s="10">
        <v>-19.801130518715354</v>
      </c>
      <c r="K78" s="23">
        <v>0</v>
      </c>
      <c r="M78"/>
      <c r="N78"/>
      <c r="O78"/>
      <c r="P78"/>
    </row>
    <row r="79" spans="9:16" x14ac:dyDescent="0.25">
      <c r="I79" s="7">
        <v>75</v>
      </c>
      <c r="J79" s="8">
        <v>-0.6316174917170656</v>
      </c>
      <c r="K79" s="23">
        <v>0</v>
      </c>
      <c r="M79"/>
      <c r="N79"/>
      <c r="O79"/>
      <c r="P79"/>
    </row>
    <row r="80" spans="9:16" x14ac:dyDescent="0.25">
      <c r="I80" s="9">
        <v>76</v>
      </c>
      <c r="J80" s="10">
        <v>2.8707946997469378</v>
      </c>
      <c r="K80" s="23">
        <v>0</v>
      </c>
      <c r="M80"/>
      <c r="N80"/>
      <c r="O80"/>
      <c r="P80"/>
    </row>
    <row r="81" spans="9:16" x14ac:dyDescent="0.25">
      <c r="I81" s="7">
        <v>77</v>
      </c>
      <c r="J81" s="8">
        <v>11.461563394207673</v>
      </c>
      <c r="K81" s="23">
        <v>0</v>
      </c>
      <c r="M81"/>
      <c r="N81"/>
      <c r="O81"/>
      <c r="P81"/>
    </row>
    <row r="82" spans="9:16" x14ac:dyDescent="0.25">
      <c r="I82" s="9">
        <v>78</v>
      </c>
      <c r="J82" s="10">
        <v>38.160837775766367</v>
      </c>
      <c r="K82" s="23">
        <v>0</v>
      </c>
      <c r="M82"/>
      <c r="N82"/>
      <c r="O82"/>
      <c r="P82"/>
    </row>
    <row r="83" spans="9:16" x14ac:dyDescent="0.25">
      <c r="I83" s="7">
        <v>79</v>
      </c>
      <c r="J83" s="8">
        <v>23.035229297031776</v>
      </c>
      <c r="K83" s="23">
        <v>0</v>
      </c>
      <c r="M83"/>
      <c r="N83"/>
      <c r="O83"/>
      <c r="P83"/>
    </row>
    <row r="84" spans="9:16" x14ac:dyDescent="0.25">
      <c r="I84" s="9">
        <v>80</v>
      </c>
      <c r="J84" s="10">
        <v>4.2793380652178854</v>
      </c>
      <c r="K84" s="23">
        <v>0</v>
      </c>
      <c r="M84"/>
      <c r="N84"/>
      <c r="O84"/>
      <c r="P84"/>
    </row>
    <row r="85" spans="9:16" x14ac:dyDescent="0.25">
      <c r="I85" s="7">
        <v>81</v>
      </c>
      <c r="J85" s="8">
        <v>23.365594973663349</v>
      </c>
      <c r="K85" s="23">
        <v>0</v>
      </c>
      <c r="M85"/>
      <c r="N85"/>
      <c r="O85"/>
      <c r="P85"/>
    </row>
    <row r="86" spans="9:16" x14ac:dyDescent="0.25">
      <c r="I86" s="9">
        <v>82</v>
      </c>
      <c r="J86" s="10">
        <v>1.2872322629899173</v>
      </c>
      <c r="K86" s="23">
        <v>0</v>
      </c>
      <c r="M86"/>
      <c r="N86"/>
      <c r="O86"/>
      <c r="P86"/>
    </row>
    <row r="87" spans="9:16" x14ac:dyDescent="0.25">
      <c r="I87" s="7">
        <v>83</v>
      </c>
      <c r="J87" s="8">
        <v>21.350452622376096</v>
      </c>
      <c r="K87" s="23">
        <v>0</v>
      </c>
      <c r="M87"/>
      <c r="N87"/>
      <c r="O87"/>
      <c r="P87"/>
    </row>
    <row r="88" spans="9:16" x14ac:dyDescent="0.25">
      <c r="I88" s="9">
        <v>84</v>
      </c>
      <c r="J88" s="10">
        <v>-20.610965999066764</v>
      </c>
      <c r="K88" s="23">
        <v>0</v>
      </c>
      <c r="M88"/>
      <c r="N88"/>
      <c r="O88"/>
      <c r="P88"/>
    </row>
    <row r="89" spans="9:16" x14ac:dyDescent="0.25">
      <c r="I89" s="7">
        <v>85</v>
      </c>
      <c r="J89" s="8">
        <v>19.408478074534884</v>
      </c>
      <c r="K89" s="23">
        <v>0</v>
      </c>
      <c r="M89"/>
      <c r="N89"/>
      <c r="O89"/>
      <c r="P89"/>
    </row>
    <row r="90" spans="9:16" x14ac:dyDescent="0.25">
      <c r="I90" s="9">
        <v>86</v>
      </c>
      <c r="J90" s="10">
        <v>-10.033156506113002</v>
      </c>
      <c r="K90" s="23">
        <v>0</v>
      </c>
      <c r="M90"/>
      <c r="N90"/>
      <c r="O90"/>
      <c r="P90"/>
    </row>
    <row r="91" spans="9:16" x14ac:dyDescent="0.25">
      <c r="I91" s="7">
        <v>87</v>
      </c>
      <c r="J91" s="8">
        <v>-6.7997409519254575</v>
      </c>
      <c r="K91" s="23">
        <v>0</v>
      </c>
      <c r="M91"/>
      <c r="N91"/>
      <c r="O91"/>
      <c r="P91"/>
    </row>
    <row r="92" spans="9:16" x14ac:dyDescent="0.25">
      <c r="I92" s="9">
        <v>88</v>
      </c>
      <c r="J92" s="10">
        <v>7.0985122954115809</v>
      </c>
      <c r="K92" s="23">
        <v>0</v>
      </c>
      <c r="M92"/>
      <c r="N92"/>
      <c r="O92"/>
      <c r="P92"/>
    </row>
    <row r="93" spans="9:16" x14ac:dyDescent="0.25">
      <c r="I93" s="7">
        <v>89</v>
      </c>
      <c r="J93" s="8">
        <v>26.407171023203261</v>
      </c>
      <c r="K93" s="23">
        <v>0</v>
      </c>
      <c r="M93"/>
      <c r="N93"/>
      <c r="O93"/>
      <c r="P93"/>
    </row>
    <row r="94" spans="9:16" x14ac:dyDescent="0.25">
      <c r="I94" s="9">
        <v>90</v>
      </c>
      <c r="J94" s="10">
        <v>0.55039700105362499</v>
      </c>
      <c r="K94" s="23">
        <v>0</v>
      </c>
      <c r="M94"/>
      <c r="N94"/>
      <c r="O94"/>
      <c r="P94"/>
    </row>
    <row r="95" spans="9:16" x14ac:dyDescent="0.25">
      <c r="I95" s="7">
        <v>91</v>
      </c>
      <c r="J95" s="8">
        <v>8.6898548976769234</v>
      </c>
      <c r="K95" s="23">
        <v>0</v>
      </c>
      <c r="M95"/>
      <c r="N95"/>
      <c r="O95"/>
      <c r="P95"/>
    </row>
    <row r="96" spans="9:16" x14ac:dyDescent="0.25">
      <c r="I96" s="9">
        <v>92</v>
      </c>
      <c r="J96" s="10">
        <v>27.327868713651611</v>
      </c>
      <c r="K96" s="23">
        <v>0</v>
      </c>
      <c r="M96"/>
      <c r="N96"/>
      <c r="O96"/>
      <c r="P96"/>
    </row>
    <row r="97" spans="9:16" x14ac:dyDescent="0.25">
      <c r="I97" s="7">
        <v>93</v>
      </c>
      <c r="J97" s="8">
        <v>11.59098637767093</v>
      </c>
      <c r="K97" s="23">
        <v>0</v>
      </c>
      <c r="M97"/>
      <c r="N97"/>
      <c r="O97"/>
      <c r="P97"/>
    </row>
    <row r="98" spans="9:16" x14ac:dyDescent="0.25">
      <c r="I98" s="9">
        <v>94</v>
      </c>
      <c r="J98" s="10">
        <v>40.599722931407086</v>
      </c>
      <c r="K98" s="23">
        <v>0</v>
      </c>
      <c r="M98"/>
      <c r="N98"/>
      <c r="O98"/>
      <c r="P98"/>
    </row>
    <row r="99" spans="9:16" x14ac:dyDescent="0.25">
      <c r="I99" s="7">
        <v>95</v>
      </c>
      <c r="J99" s="8">
        <v>11.847160197037354</v>
      </c>
      <c r="K99" s="23">
        <v>0</v>
      </c>
      <c r="M99"/>
      <c r="N99"/>
      <c r="O99"/>
      <c r="P99"/>
    </row>
    <row r="100" spans="9:16" x14ac:dyDescent="0.25">
      <c r="I100" s="9">
        <v>96</v>
      </c>
      <c r="J100" s="10">
        <v>40.406426886886806</v>
      </c>
      <c r="K100" s="23">
        <v>0</v>
      </c>
      <c r="M100"/>
      <c r="N100"/>
      <c r="O100"/>
      <c r="P100"/>
    </row>
    <row r="101" spans="9:16" x14ac:dyDescent="0.25">
      <c r="I101" s="7">
        <v>97</v>
      </c>
      <c r="J101" s="8">
        <v>18.805108567855257</v>
      </c>
      <c r="K101" s="23">
        <v>0</v>
      </c>
      <c r="M101"/>
      <c r="N101"/>
      <c r="O101"/>
      <c r="P101"/>
    </row>
    <row r="102" spans="9:16" x14ac:dyDescent="0.25">
      <c r="I102" s="9">
        <v>98</v>
      </c>
      <c r="J102" s="10">
        <v>50.812254264703299</v>
      </c>
      <c r="K102" s="23">
        <v>0</v>
      </c>
      <c r="M102"/>
      <c r="N102"/>
      <c r="O102"/>
      <c r="P102"/>
    </row>
    <row r="103" spans="9:16" x14ac:dyDescent="0.25">
      <c r="I103" s="7">
        <v>99</v>
      </c>
      <c r="J103" s="8">
        <v>33.734633399393687</v>
      </c>
      <c r="K103" s="23">
        <v>0</v>
      </c>
      <c r="M103"/>
      <c r="N103"/>
      <c r="O103"/>
      <c r="P103"/>
    </row>
    <row r="104" spans="9:16" x14ac:dyDescent="0.25">
      <c r="I104" s="9">
        <v>100</v>
      </c>
      <c r="J104" s="10">
        <v>33.166893271312517</v>
      </c>
      <c r="K104" s="23">
        <v>0</v>
      </c>
      <c r="M104"/>
      <c r="N104"/>
      <c r="O104"/>
      <c r="P104"/>
    </row>
    <row r="105" spans="9:16" x14ac:dyDescent="0.25">
      <c r="I105" s="7">
        <v>101</v>
      </c>
      <c r="J105" s="8">
        <v>16.530133686747945</v>
      </c>
      <c r="K105" s="23">
        <v>0</v>
      </c>
      <c r="M105"/>
      <c r="N105"/>
      <c r="O105"/>
      <c r="P105"/>
    </row>
    <row r="106" spans="9:16" x14ac:dyDescent="0.25">
      <c r="I106" s="9">
        <v>102</v>
      </c>
      <c r="J106" s="10">
        <v>27.96031448434195</v>
      </c>
      <c r="K106" s="23">
        <v>0</v>
      </c>
      <c r="M106"/>
      <c r="N106"/>
      <c r="O106"/>
      <c r="P106"/>
    </row>
    <row r="107" spans="9:16" x14ac:dyDescent="0.25">
      <c r="I107" s="7">
        <v>103</v>
      </c>
      <c r="J107" s="8">
        <v>-5.1048094117485618</v>
      </c>
      <c r="K107" s="23">
        <v>0</v>
      </c>
      <c r="M107"/>
      <c r="N107"/>
      <c r="O107"/>
      <c r="P107"/>
    </row>
    <row r="108" spans="9:16" x14ac:dyDescent="0.25">
      <c r="I108" s="9">
        <v>104</v>
      </c>
      <c r="J108" s="10">
        <v>14.338432955861975</v>
      </c>
      <c r="K108" s="23">
        <v>0</v>
      </c>
      <c r="M108"/>
      <c r="N108"/>
      <c r="O108"/>
      <c r="P108"/>
    </row>
    <row r="109" spans="9:16" x14ac:dyDescent="0.25">
      <c r="I109" s="7">
        <v>105</v>
      </c>
      <c r="J109" s="8">
        <v>-11.70518654364659</v>
      </c>
      <c r="K109" s="23">
        <v>0</v>
      </c>
      <c r="M109"/>
      <c r="N109"/>
      <c r="O109"/>
      <c r="P109"/>
    </row>
    <row r="110" spans="9:16" x14ac:dyDescent="0.25">
      <c r="I110" s="9">
        <v>106</v>
      </c>
      <c r="J110" s="10">
        <v>29.883222697060575</v>
      </c>
      <c r="K110" s="23">
        <v>0</v>
      </c>
      <c r="M110"/>
      <c r="N110"/>
      <c r="O110"/>
      <c r="P110"/>
    </row>
    <row r="111" spans="9:16" x14ac:dyDescent="0.25">
      <c r="I111" s="7">
        <v>107</v>
      </c>
      <c r="J111" s="8">
        <v>-19.861922378414945</v>
      </c>
      <c r="K111" s="23">
        <v>0</v>
      </c>
      <c r="M111"/>
      <c r="N111"/>
      <c r="O111"/>
      <c r="P111"/>
    </row>
    <row r="112" spans="9:16" x14ac:dyDescent="0.25">
      <c r="I112" s="9">
        <v>108</v>
      </c>
      <c r="J112" s="10">
        <v>7.8734991492955828</v>
      </c>
      <c r="K112" s="23">
        <v>0</v>
      </c>
      <c r="M112"/>
      <c r="N112"/>
      <c r="O112"/>
      <c r="P112"/>
    </row>
    <row r="113" spans="9:16" x14ac:dyDescent="0.25">
      <c r="I113" s="7">
        <v>109</v>
      </c>
      <c r="J113" s="8">
        <v>10.987143315701474</v>
      </c>
      <c r="K113" s="23">
        <v>0</v>
      </c>
      <c r="M113"/>
      <c r="N113"/>
      <c r="O113"/>
      <c r="P113"/>
    </row>
    <row r="114" spans="9:16" x14ac:dyDescent="0.25">
      <c r="I114" s="9">
        <v>110</v>
      </c>
      <c r="J114" s="10">
        <v>8.9762065675298572</v>
      </c>
      <c r="K114" s="23">
        <v>0</v>
      </c>
      <c r="M114"/>
      <c r="N114"/>
      <c r="O114"/>
      <c r="P114"/>
    </row>
    <row r="115" spans="9:16" x14ac:dyDescent="0.25">
      <c r="I115" s="7">
        <v>111</v>
      </c>
      <c r="J115" s="8">
        <v>-15.526980535955303</v>
      </c>
      <c r="K115" s="23">
        <v>0</v>
      </c>
      <c r="M115"/>
      <c r="N115"/>
      <c r="O115"/>
      <c r="P115"/>
    </row>
    <row r="116" spans="9:16" x14ac:dyDescent="0.25">
      <c r="I116" s="9">
        <v>112</v>
      </c>
      <c r="J116" s="10">
        <v>12.718186868604633</v>
      </c>
      <c r="K116" s="23">
        <v>0</v>
      </c>
      <c r="M116"/>
      <c r="N116"/>
      <c r="O116"/>
      <c r="P116"/>
    </row>
    <row r="117" spans="9:16" x14ac:dyDescent="0.25">
      <c r="I117" s="7">
        <v>113</v>
      </c>
      <c r="J117" s="8">
        <v>10.290950998621781</v>
      </c>
      <c r="K117" s="23">
        <v>0</v>
      </c>
      <c r="M117"/>
      <c r="N117"/>
      <c r="O117"/>
      <c r="P117"/>
    </row>
    <row r="118" spans="9:16" x14ac:dyDescent="0.25">
      <c r="I118" s="9">
        <v>114</v>
      </c>
      <c r="J118" s="10">
        <v>20.130238044436325</v>
      </c>
      <c r="K118" s="23">
        <v>0</v>
      </c>
      <c r="M118"/>
      <c r="N118"/>
      <c r="O118"/>
      <c r="P118"/>
    </row>
    <row r="119" spans="9:16" x14ac:dyDescent="0.25">
      <c r="I119" s="7">
        <v>115</v>
      </c>
      <c r="J119" s="8">
        <v>3.1368438327529589</v>
      </c>
      <c r="K119" s="23">
        <v>0</v>
      </c>
      <c r="M119"/>
      <c r="N119"/>
      <c r="O119"/>
      <c r="P119"/>
    </row>
    <row r="120" spans="9:16" x14ac:dyDescent="0.25">
      <c r="I120" s="9">
        <v>116</v>
      </c>
      <c r="J120" s="10">
        <v>8.4581470586548733</v>
      </c>
      <c r="K120" s="23">
        <v>0</v>
      </c>
      <c r="M120"/>
      <c r="N120"/>
      <c r="O120"/>
      <c r="P120"/>
    </row>
    <row r="121" spans="9:16" x14ac:dyDescent="0.25">
      <c r="I121" s="7">
        <v>117</v>
      </c>
      <c r="J121" s="8">
        <v>-4.6521236015045702</v>
      </c>
      <c r="K121" s="23">
        <v>0</v>
      </c>
      <c r="M121"/>
      <c r="N121"/>
      <c r="O121"/>
      <c r="P121"/>
    </row>
    <row r="122" spans="9:16" x14ac:dyDescent="0.25">
      <c r="I122" s="9">
        <v>118</v>
      </c>
      <c r="J122" s="10">
        <v>-1.7770401137541825</v>
      </c>
      <c r="K122" s="23">
        <v>0</v>
      </c>
      <c r="M122"/>
      <c r="N122"/>
      <c r="O122"/>
      <c r="P122"/>
    </row>
    <row r="123" spans="9:16" x14ac:dyDescent="0.25">
      <c r="I123" s="7">
        <v>119</v>
      </c>
      <c r="J123" s="8">
        <v>-16.267953488276476</v>
      </c>
      <c r="K123" s="23">
        <v>0</v>
      </c>
      <c r="M123"/>
      <c r="N123"/>
      <c r="O123"/>
      <c r="P123"/>
    </row>
    <row r="124" spans="9:16" x14ac:dyDescent="0.25">
      <c r="I124" s="9">
        <v>120</v>
      </c>
      <c r="J124" s="10">
        <v>8.7446331426627211</v>
      </c>
      <c r="K124" s="23">
        <v>0</v>
      </c>
      <c r="M124"/>
      <c r="N124"/>
      <c r="O124"/>
      <c r="P124"/>
    </row>
    <row r="125" spans="9:16" x14ac:dyDescent="0.25">
      <c r="I125" s="7">
        <v>121</v>
      </c>
      <c r="J125" s="8">
        <v>5.2341867504252235</v>
      </c>
      <c r="K125" s="23">
        <v>0</v>
      </c>
      <c r="M125"/>
      <c r="N125"/>
      <c r="O125"/>
      <c r="P125"/>
    </row>
    <row r="126" spans="9:16" x14ac:dyDescent="0.25">
      <c r="I126" s="9">
        <v>122</v>
      </c>
      <c r="J126" s="10">
        <v>12.944297140933628</v>
      </c>
      <c r="K126" s="23">
        <v>0</v>
      </c>
      <c r="M126"/>
      <c r="N126"/>
      <c r="O126"/>
      <c r="P126"/>
    </row>
    <row r="127" spans="9:16" x14ac:dyDescent="0.25">
      <c r="I127" s="7">
        <v>123</v>
      </c>
      <c r="J127" s="8">
        <v>23.686827527583176</v>
      </c>
      <c r="K127" s="23">
        <v>0</v>
      </c>
      <c r="M127"/>
      <c r="N127"/>
      <c r="O127"/>
      <c r="P127"/>
    </row>
    <row r="128" spans="9:16" x14ac:dyDescent="0.25">
      <c r="I128" s="9">
        <v>124</v>
      </c>
      <c r="J128" s="10">
        <v>20.625728049748659</v>
      </c>
      <c r="K128" s="23">
        <v>0</v>
      </c>
      <c r="M128"/>
      <c r="N128"/>
      <c r="O128"/>
      <c r="P128"/>
    </row>
    <row r="129" spans="9:16" x14ac:dyDescent="0.25">
      <c r="I129" s="7">
        <v>125</v>
      </c>
      <c r="J129" s="8">
        <v>-16.175098130052163</v>
      </c>
      <c r="K129" s="23">
        <v>0</v>
      </c>
      <c r="M129"/>
      <c r="N129"/>
      <c r="O129"/>
      <c r="P129"/>
    </row>
    <row r="130" spans="9:16" x14ac:dyDescent="0.25">
      <c r="I130" s="9">
        <v>126</v>
      </c>
      <c r="J130" s="10">
        <v>21.089343541675561</v>
      </c>
      <c r="K130" s="23">
        <v>0</v>
      </c>
      <c r="M130"/>
      <c r="N130"/>
      <c r="O130"/>
      <c r="P130"/>
    </row>
    <row r="131" spans="9:16" x14ac:dyDescent="0.25">
      <c r="I131" s="7">
        <v>127</v>
      </c>
      <c r="J131" s="8">
        <v>28.892947364841064</v>
      </c>
      <c r="K131" s="23">
        <v>0</v>
      </c>
      <c r="M131"/>
      <c r="N131"/>
      <c r="O131"/>
      <c r="P131"/>
    </row>
    <row r="132" spans="9:16" x14ac:dyDescent="0.25">
      <c r="I132" s="9">
        <v>128</v>
      </c>
      <c r="J132" s="10">
        <v>15.260861199440683</v>
      </c>
      <c r="K132" s="23">
        <v>0</v>
      </c>
      <c r="M132"/>
      <c r="N132"/>
      <c r="O132"/>
      <c r="P132"/>
    </row>
    <row r="133" spans="9:16" x14ac:dyDescent="0.25">
      <c r="I133" s="7">
        <v>129</v>
      </c>
      <c r="J133" s="8">
        <v>9.0504096627059596</v>
      </c>
      <c r="K133" s="23">
        <v>0</v>
      </c>
      <c r="M133"/>
      <c r="N133"/>
      <c r="O133"/>
      <c r="P133"/>
    </row>
    <row r="134" spans="9:16" x14ac:dyDescent="0.25">
      <c r="I134" s="9">
        <v>130</v>
      </c>
      <c r="J134" s="10">
        <v>18.868361073423131</v>
      </c>
      <c r="K134" s="23">
        <v>0</v>
      </c>
      <c r="M134"/>
      <c r="N134"/>
      <c r="O134"/>
      <c r="P134"/>
    </row>
    <row r="135" spans="9:16" x14ac:dyDescent="0.25">
      <c r="I135" s="7">
        <v>131</v>
      </c>
      <c r="J135" s="8">
        <v>9.35896335367228</v>
      </c>
      <c r="K135" s="23">
        <v>0</v>
      </c>
      <c r="M135"/>
      <c r="N135"/>
      <c r="O135"/>
      <c r="P135"/>
    </row>
    <row r="136" spans="9:16" x14ac:dyDescent="0.25">
      <c r="I136" s="9">
        <v>132</v>
      </c>
      <c r="J136" s="10">
        <v>18.055566598123008</v>
      </c>
      <c r="K136" s="23">
        <v>0</v>
      </c>
      <c r="M136"/>
      <c r="N136"/>
      <c r="O136"/>
      <c r="P136"/>
    </row>
    <row r="137" spans="9:16" x14ac:dyDescent="0.25">
      <c r="I137" s="7">
        <v>133</v>
      </c>
      <c r="J137" s="8">
        <v>-11.601427055925683</v>
      </c>
      <c r="K137" s="23">
        <v>0</v>
      </c>
      <c r="M137"/>
      <c r="N137"/>
      <c r="O137"/>
      <c r="P137"/>
    </row>
    <row r="138" spans="9:16" x14ac:dyDescent="0.25">
      <c r="I138" s="9">
        <v>134</v>
      </c>
      <c r="J138" s="10">
        <v>-7.83571781474717</v>
      </c>
      <c r="K138" s="23">
        <v>0</v>
      </c>
      <c r="M138"/>
      <c r="N138"/>
      <c r="O138"/>
      <c r="P138"/>
    </row>
    <row r="139" spans="9:16" x14ac:dyDescent="0.25">
      <c r="I139" s="7">
        <v>135</v>
      </c>
      <c r="J139" s="8">
        <v>-0.78152152128765806</v>
      </c>
      <c r="K139" s="23">
        <v>0</v>
      </c>
      <c r="M139"/>
      <c r="N139"/>
      <c r="O139"/>
      <c r="P139"/>
    </row>
    <row r="140" spans="9:16" x14ac:dyDescent="0.25">
      <c r="I140" s="9">
        <v>136</v>
      </c>
      <c r="J140" s="10">
        <v>39.190951037589244</v>
      </c>
      <c r="K140" s="23">
        <v>0</v>
      </c>
      <c r="M140"/>
      <c r="N140"/>
      <c r="O140"/>
      <c r="P140"/>
    </row>
    <row r="141" spans="9:16" x14ac:dyDescent="0.25">
      <c r="I141" s="7">
        <v>137</v>
      </c>
      <c r="J141" s="8">
        <v>2.8160789979484946</v>
      </c>
      <c r="K141" s="23">
        <v>0</v>
      </c>
      <c r="M141"/>
      <c r="N141"/>
      <c r="O141"/>
      <c r="P141"/>
    </row>
    <row r="142" spans="9:16" x14ac:dyDescent="0.25">
      <c r="I142" s="9">
        <v>138</v>
      </c>
      <c r="J142" s="10">
        <v>31.448881103400709</v>
      </c>
      <c r="K142" s="23">
        <v>0</v>
      </c>
      <c r="M142"/>
      <c r="N142"/>
      <c r="O142"/>
      <c r="P142"/>
    </row>
    <row r="143" spans="9:16" x14ac:dyDescent="0.25">
      <c r="I143" s="7">
        <v>139</v>
      </c>
      <c r="J143" s="8">
        <v>16.761983135319099</v>
      </c>
      <c r="K143" s="23">
        <v>0</v>
      </c>
      <c r="M143"/>
      <c r="N143"/>
      <c r="O143"/>
      <c r="P143"/>
    </row>
    <row r="144" spans="9:16" x14ac:dyDescent="0.25">
      <c r="I144" s="9">
        <v>140</v>
      </c>
      <c r="J144" s="10">
        <v>6.2888939792189547</v>
      </c>
      <c r="K144" s="23">
        <v>0</v>
      </c>
      <c r="M144"/>
      <c r="N144"/>
      <c r="O144"/>
      <c r="P144"/>
    </row>
    <row r="145" spans="9:16" x14ac:dyDescent="0.25">
      <c r="I145" s="7">
        <v>141</v>
      </c>
      <c r="J145" s="8">
        <v>-2.5636603863725611</v>
      </c>
      <c r="K145" s="23">
        <v>0</v>
      </c>
      <c r="M145"/>
      <c r="N145"/>
      <c r="O145"/>
      <c r="P145"/>
    </row>
    <row r="146" spans="9:16" x14ac:dyDescent="0.25">
      <c r="I146" s="9">
        <v>142</v>
      </c>
      <c r="J146" s="10">
        <v>8.2902659186546543</v>
      </c>
      <c r="K146" s="23">
        <v>0</v>
      </c>
      <c r="M146"/>
      <c r="N146"/>
      <c r="O146"/>
      <c r="P146"/>
    </row>
    <row r="147" spans="9:16" x14ac:dyDescent="0.25">
      <c r="I147" s="7">
        <v>143</v>
      </c>
      <c r="J147" s="8">
        <v>15.92772128741575</v>
      </c>
      <c r="K147" s="23">
        <v>0</v>
      </c>
      <c r="M147"/>
      <c r="N147"/>
      <c r="O147"/>
      <c r="P147"/>
    </row>
    <row r="148" spans="9:16" x14ac:dyDescent="0.25">
      <c r="I148" s="9">
        <v>144</v>
      </c>
      <c r="J148" s="10">
        <v>14.219427942942815</v>
      </c>
      <c r="K148" s="23">
        <v>0</v>
      </c>
      <c r="M148"/>
      <c r="N148"/>
      <c r="O148"/>
      <c r="P148"/>
    </row>
    <row r="149" spans="9:16" x14ac:dyDescent="0.25">
      <c r="I149" s="7">
        <v>145</v>
      </c>
      <c r="J149" s="8">
        <v>-5.8583059929901253</v>
      </c>
      <c r="K149" s="23">
        <v>0</v>
      </c>
      <c r="M149"/>
      <c r="N149"/>
      <c r="O149"/>
      <c r="P149"/>
    </row>
    <row r="150" spans="9:16" x14ac:dyDescent="0.25">
      <c r="I150" s="9">
        <v>146</v>
      </c>
      <c r="J150" s="10">
        <v>28.54051601672397</v>
      </c>
      <c r="K150" s="23">
        <v>0</v>
      </c>
      <c r="M150"/>
      <c r="N150"/>
      <c r="O150"/>
      <c r="P150"/>
    </row>
    <row r="151" spans="9:16" x14ac:dyDescent="0.25">
      <c r="I151" s="7">
        <v>147</v>
      </c>
      <c r="J151" s="8">
        <v>-18.912197449847326</v>
      </c>
      <c r="K151" s="23">
        <v>0</v>
      </c>
      <c r="M151"/>
      <c r="N151"/>
      <c r="O151"/>
      <c r="P151"/>
    </row>
    <row r="152" spans="9:16" x14ac:dyDescent="0.25">
      <c r="I152" s="9">
        <v>148</v>
      </c>
      <c r="J152" s="10">
        <v>18.556204993674584</v>
      </c>
      <c r="K152" s="23">
        <v>0</v>
      </c>
      <c r="M152"/>
      <c r="N152"/>
      <c r="O152"/>
      <c r="P152"/>
    </row>
    <row r="153" spans="9:16" x14ac:dyDescent="0.25">
      <c r="I153" s="7">
        <v>149</v>
      </c>
      <c r="J153" s="8">
        <v>8.8275782106409224</v>
      </c>
      <c r="K153" s="23">
        <v>0</v>
      </c>
      <c r="M153"/>
      <c r="N153"/>
      <c r="O153"/>
      <c r="P153"/>
    </row>
    <row r="154" spans="9:16" x14ac:dyDescent="0.25">
      <c r="I154" s="9">
        <v>150</v>
      </c>
      <c r="J154" s="10">
        <v>-7.422096976900491</v>
      </c>
      <c r="K154" s="23">
        <v>0</v>
      </c>
      <c r="M154"/>
      <c r="N154"/>
      <c r="O154"/>
      <c r="P154"/>
    </row>
    <row r="155" spans="9:16" x14ac:dyDescent="0.25">
      <c r="I155" s="7">
        <v>151</v>
      </c>
      <c r="J155" s="8">
        <v>33.248955780302182</v>
      </c>
      <c r="K155" s="23">
        <v>0</v>
      </c>
      <c r="M155"/>
      <c r="N155"/>
      <c r="O155"/>
      <c r="P155"/>
    </row>
    <row r="156" spans="9:16" x14ac:dyDescent="0.25">
      <c r="I156" s="9">
        <v>152</v>
      </c>
      <c r="J156" s="10">
        <v>-4.2886420952700917</v>
      </c>
      <c r="K156" s="23">
        <v>0</v>
      </c>
      <c r="M156"/>
      <c r="N156"/>
      <c r="O156"/>
      <c r="P156"/>
    </row>
    <row r="157" spans="9:16" x14ac:dyDescent="0.25">
      <c r="I157" s="7">
        <v>153</v>
      </c>
      <c r="J157" s="8">
        <v>-5.6142926582172379</v>
      </c>
      <c r="K157" s="23">
        <v>0</v>
      </c>
      <c r="M157"/>
      <c r="N157"/>
      <c r="O157"/>
      <c r="P157"/>
    </row>
    <row r="158" spans="9:16" x14ac:dyDescent="0.25">
      <c r="I158" s="9">
        <v>154</v>
      </c>
      <c r="J158" s="10">
        <v>24.944355487541571</v>
      </c>
      <c r="K158" s="23">
        <v>0</v>
      </c>
      <c r="M158"/>
      <c r="N158"/>
      <c r="O158"/>
      <c r="P158"/>
    </row>
    <row r="159" spans="9:16" x14ac:dyDescent="0.25">
      <c r="I159" s="7">
        <v>155</v>
      </c>
      <c r="J159" s="8">
        <v>26.65290059006611</v>
      </c>
      <c r="K159" s="23">
        <v>0</v>
      </c>
      <c r="M159"/>
      <c r="N159"/>
      <c r="O159"/>
      <c r="P159"/>
    </row>
    <row r="160" spans="9:16" x14ac:dyDescent="0.25">
      <c r="I160" s="9">
        <v>156</v>
      </c>
      <c r="J160" s="10">
        <v>4.4414778096933247</v>
      </c>
      <c r="K160" s="23">
        <v>0</v>
      </c>
      <c r="M160"/>
      <c r="N160"/>
      <c r="O160"/>
      <c r="P160"/>
    </row>
    <row r="161" spans="9:16" x14ac:dyDescent="0.25">
      <c r="I161" s="7">
        <v>157</v>
      </c>
      <c r="J161" s="8">
        <v>14.481843618397363</v>
      </c>
      <c r="K161" s="23">
        <v>0</v>
      </c>
      <c r="M161"/>
      <c r="N161"/>
      <c r="O161"/>
      <c r="P161"/>
    </row>
    <row r="162" spans="9:16" x14ac:dyDescent="0.25">
      <c r="I162" s="9">
        <v>158</v>
      </c>
      <c r="J162" s="10">
        <v>1.4025942270898497</v>
      </c>
      <c r="K162" s="23">
        <v>0</v>
      </c>
      <c r="M162"/>
      <c r="N162"/>
      <c r="O162"/>
      <c r="P162"/>
    </row>
    <row r="163" spans="9:16" x14ac:dyDescent="0.25">
      <c r="I163" s="7">
        <v>159</v>
      </c>
      <c r="J163" s="8">
        <v>38.441639292883025</v>
      </c>
      <c r="K163" s="23">
        <v>0</v>
      </c>
      <c r="M163"/>
      <c r="N163"/>
      <c r="O163"/>
      <c r="P163"/>
    </row>
    <row r="164" spans="9:16" x14ac:dyDescent="0.25">
      <c r="I164" s="9">
        <v>160</v>
      </c>
      <c r="J164" s="10">
        <v>30.756104597450488</v>
      </c>
      <c r="K164" s="23">
        <v>0</v>
      </c>
      <c r="M164"/>
      <c r="N164"/>
      <c r="O164"/>
      <c r="P164"/>
    </row>
    <row r="165" spans="9:16" x14ac:dyDescent="0.25">
      <c r="I165" s="7">
        <v>161</v>
      </c>
      <c r="J165" s="8">
        <v>7.1725695837528178</v>
      </c>
      <c r="K165" s="23">
        <v>0</v>
      </c>
      <c r="M165"/>
      <c r="N165"/>
      <c r="O165"/>
      <c r="P165"/>
    </row>
    <row r="166" spans="9:16" x14ac:dyDescent="0.25">
      <c r="I166" s="9">
        <v>162</v>
      </c>
      <c r="J166" s="10">
        <v>30.567756574722551</v>
      </c>
      <c r="K166" s="23">
        <v>0</v>
      </c>
      <c r="M166"/>
      <c r="N166"/>
      <c r="O166"/>
      <c r="P166"/>
    </row>
    <row r="167" spans="9:16" x14ac:dyDescent="0.25">
      <c r="I167" s="7">
        <v>163</v>
      </c>
      <c r="J167" s="8">
        <v>-1.6770766811410169</v>
      </c>
      <c r="K167" s="23">
        <v>0</v>
      </c>
      <c r="M167"/>
      <c r="N167"/>
      <c r="O167"/>
      <c r="P167"/>
    </row>
    <row r="168" spans="9:16" x14ac:dyDescent="0.25">
      <c r="I168" s="9">
        <v>164</v>
      </c>
      <c r="J168" s="10">
        <v>20.949526126336394</v>
      </c>
      <c r="K168" s="23">
        <v>0</v>
      </c>
      <c r="M168"/>
      <c r="N168"/>
      <c r="O168"/>
      <c r="P168"/>
    </row>
    <row r="169" spans="9:16" x14ac:dyDescent="0.25">
      <c r="I169" s="7">
        <v>165</v>
      </c>
      <c r="J169" s="8">
        <v>16.053489810416892</v>
      </c>
      <c r="K169" s="23">
        <v>0</v>
      </c>
      <c r="M169"/>
      <c r="N169"/>
      <c r="O169"/>
      <c r="P169"/>
    </row>
    <row r="170" spans="9:16" x14ac:dyDescent="0.25">
      <c r="I170" s="9">
        <v>166</v>
      </c>
      <c r="J170" s="10">
        <v>-1.6951921008406003</v>
      </c>
      <c r="K170" s="23">
        <v>0</v>
      </c>
      <c r="M170"/>
      <c r="N170"/>
      <c r="O170"/>
      <c r="P170"/>
    </row>
    <row r="171" spans="9:16" x14ac:dyDescent="0.25">
      <c r="I171" s="7">
        <v>167</v>
      </c>
      <c r="J171" s="8">
        <v>25.227480535729541</v>
      </c>
      <c r="K171" s="23">
        <v>0</v>
      </c>
      <c r="M171"/>
      <c r="N171"/>
      <c r="O171"/>
      <c r="P171"/>
    </row>
    <row r="172" spans="9:16" x14ac:dyDescent="0.25">
      <c r="I172" s="9">
        <v>168</v>
      </c>
      <c r="J172" s="10">
        <v>22.609047165912273</v>
      </c>
      <c r="K172" s="23">
        <v>0</v>
      </c>
      <c r="M172"/>
      <c r="N172"/>
      <c r="O172"/>
      <c r="P172"/>
    </row>
    <row r="173" spans="9:16" x14ac:dyDescent="0.25">
      <c r="I173" s="7">
        <v>169</v>
      </c>
      <c r="J173" s="8">
        <v>40.840318395366708</v>
      </c>
      <c r="K173" s="23">
        <v>0</v>
      </c>
      <c r="M173"/>
      <c r="N173"/>
      <c r="O173"/>
      <c r="P173"/>
    </row>
    <row r="174" spans="9:16" x14ac:dyDescent="0.25">
      <c r="I174" s="9">
        <v>170</v>
      </c>
      <c r="J174" s="10">
        <v>-3.0968828352264239</v>
      </c>
      <c r="K174" s="23">
        <v>0</v>
      </c>
      <c r="M174"/>
      <c r="N174"/>
      <c r="O174"/>
      <c r="P174"/>
    </row>
    <row r="175" spans="9:16" x14ac:dyDescent="0.25">
      <c r="I175" s="7">
        <v>171</v>
      </c>
      <c r="J175" s="8">
        <v>-0.39665261959689246</v>
      </c>
      <c r="K175" s="23">
        <v>0</v>
      </c>
      <c r="M175"/>
      <c r="N175"/>
      <c r="O175"/>
      <c r="P175"/>
    </row>
    <row r="176" spans="9:16" x14ac:dyDescent="0.25">
      <c r="I176" s="9">
        <v>172</v>
      </c>
      <c r="J176" s="10">
        <v>2.627631629371848</v>
      </c>
      <c r="K176" s="23">
        <v>0</v>
      </c>
      <c r="M176"/>
      <c r="N176"/>
      <c r="O176"/>
      <c r="P176"/>
    </row>
    <row r="177" spans="9:16" x14ac:dyDescent="0.25">
      <c r="I177" s="7">
        <v>173</v>
      </c>
      <c r="J177" s="8">
        <v>8.7739930166776219</v>
      </c>
      <c r="K177" s="23">
        <v>0</v>
      </c>
      <c r="M177"/>
      <c r="N177"/>
      <c r="O177"/>
      <c r="P177"/>
    </row>
    <row r="178" spans="9:16" x14ac:dyDescent="0.25">
      <c r="I178" s="9">
        <v>174</v>
      </c>
      <c r="J178" s="10">
        <v>1.3064662651144801</v>
      </c>
      <c r="K178" s="23">
        <v>0</v>
      </c>
      <c r="M178"/>
      <c r="N178"/>
      <c r="O178"/>
      <c r="P178"/>
    </row>
    <row r="179" spans="9:16" x14ac:dyDescent="0.25">
      <c r="I179" s="7">
        <v>175</v>
      </c>
      <c r="J179" s="8">
        <v>-8.9791024860722928</v>
      </c>
      <c r="K179" s="23">
        <v>0</v>
      </c>
      <c r="M179"/>
      <c r="N179"/>
      <c r="O179"/>
      <c r="P179"/>
    </row>
    <row r="180" spans="9:16" x14ac:dyDescent="0.25">
      <c r="I180" s="9">
        <v>176</v>
      </c>
      <c r="J180" s="10">
        <v>4.1316003589908235</v>
      </c>
      <c r="K180" s="23">
        <v>0</v>
      </c>
      <c r="M180"/>
      <c r="N180"/>
      <c r="O180"/>
      <c r="P180"/>
    </row>
    <row r="181" spans="9:16" x14ac:dyDescent="0.25">
      <c r="I181" s="7">
        <v>177</v>
      </c>
      <c r="J181" s="8">
        <v>-24.991511925457189</v>
      </c>
      <c r="K181" s="23">
        <v>0</v>
      </c>
      <c r="M181"/>
      <c r="N181"/>
      <c r="O181"/>
      <c r="P181"/>
    </row>
    <row r="182" spans="9:16" x14ac:dyDescent="0.25">
      <c r="I182" s="9">
        <v>178</v>
      </c>
      <c r="J182" s="10">
        <v>-19.64407795110391</v>
      </c>
      <c r="K182" s="23">
        <v>0</v>
      </c>
      <c r="M182"/>
      <c r="N182"/>
      <c r="O182"/>
      <c r="P182"/>
    </row>
    <row r="183" spans="9:16" x14ac:dyDescent="0.25">
      <c r="I183" s="7">
        <v>179</v>
      </c>
      <c r="J183" s="8">
        <v>9.5063208669120058</v>
      </c>
      <c r="K183" s="23">
        <v>0</v>
      </c>
      <c r="M183"/>
      <c r="N183"/>
      <c r="O183"/>
      <c r="P183"/>
    </row>
    <row r="184" spans="9:16" x14ac:dyDescent="0.25">
      <c r="I184" s="9">
        <v>180</v>
      </c>
      <c r="J184" s="10">
        <v>25.407255913452431</v>
      </c>
      <c r="K184" s="23">
        <v>0</v>
      </c>
      <c r="M184"/>
      <c r="N184"/>
      <c r="O184"/>
      <c r="P184"/>
    </row>
    <row r="185" spans="9:16" x14ac:dyDescent="0.25">
      <c r="I185" s="7">
        <v>181</v>
      </c>
      <c r="J185" s="8">
        <v>14.703378949556978</v>
      </c>
      <c r="K185" s="23">
        <v>0</v>
      </c>
      <c r="M185"/>
      <c r="N185"/>
      <c r="O185"/>
      <c r="P185"/>
    </row>
    <row r="186" spans="9:16" x14ac:dyDescent="0.25">
      <c r="I186" s="9">
        <v>182</v>
      </c>
      <c r="J186" s="10">
        <v>8.4431418775892269</v>
      </c>
      <c r="K186" s="23">
        <v>0</v>
      </c>
      <c r="M186"/>
      <c r="N186"/>
      <c r="O186"/>
      <c r="P186"/>
    </row>
    <row r="187" spans="9:16" x14ac:dyDescent="0.25">
      <c r="I187" s="7">
        <v>183</v>
      </c>
      <c r="J187" s="8">
        <v>-0.40703413854851078</v>
      </c>
      <c r="K187" s="23">
        <v>0</v>
      </c>
      <c r="M187"/>
      <c r="N187"/>
      <c r="O187"/>
      <c r="P187"/>
    </row>
    <row r="188" spans="9:16" x14ac:dyDescent="0.25">
      <c r="I188" s="9">
        <v>184</v>
      </c>
      <c r="J188" s="10">
        <v>-0.39290597650975201</v>
      </c>
      <c r="K188" s="23">
        <v>0</v>
      </c>
      <c r="M188"/>
      <c r="N188"/>
      <c r="O188"/>
      <c r="P188"/>
    </row>
    <row r="189" spans="9:16" x14ac:dyDescent="0.25">
      <c r="I189" s="7">
        <v>185</v>
      </c>
      <c r="J189" s="8">
        <v>2.4973320774172407</v>
      </c>
      <c r="K189" s="23">
        <v>0</v>
      </c>
      <c r="M189"/>
      <c r="N189"/>
      <c r="O189"/>
      <c r="P189"/>
    </row>
    <row r="190" spans="9:16" x14ac:dyDescent="0.25">
      <c r="I190" s="9">
        <v>186</v>
      </c>
      <c r="J190" s="10">
        <v>18.022560238483351</v>
      </c>
      <c r="K190" s="23">
        <v>0</v>
      </c>
      <c r="M190"/>
      <c r="N190"/>
      <c r="O190"/>
      <c r="P190"/>
    </row>
    <row r="191" spans="9:16" x14ac:dyDescent="0.25">
      <c r="I191" s="7">
        <v>187</v>
      </c>
      <c r="J191" s="8">
        <v>2.3599204000520615</v>
      </c>
      <c r="K191" s="23">
        <v>0</v>
      </c>
      <c r="M191"/>
      <c r="N191"/>
      <c r="O191"/>
      <c r="P191"/>
    </row>
    <row r="192" spans="9:16" x14ac:dyDescent="0.25">
      <c r="I192" s="9">
        <v>188</v>
      </c>
      <c r="J192" s="10">
        <v>-2.9138349510690205</v>
      </c>
      <c r="K192" s="23">
        <v>0</v>
      </c>
      <c r="M192"/>
      <c r="N192"/>
      <c r="O192"/>
      <c r="P192"/>
    </row>
    <row r="193" spans="9:16" x14ac:dyDescent="0.25">
      <c r="I193" s="7">
        <v>189</v>
      </c>
      <c r="J193" s="8">
        <v>8.3926198575036892</v>
      </c>
      <c r="K193" s="23">
        <v>0</v>
      </c>
      <c r="M193"/>
      <c r="N193"/>
      <c r="O193"/>
      <c r="P193"/>
    </row>
    <row r="194" spans="9:16" x14ac:dyDescent="0.25">
      <c r="I194" s="9">
        <v>190</v>
      </c>
      <c r="J194" s="10">
        <v>16.99718084011306</v>
      </c>
      <c r="K194" s="23">
        <v>0</v>
      </c>
      <c r="M194"/>
      <c r="N194"/>
      <c r="O194"/>
      <c r="P194"/>
    </row>
    <row r="195" spans="9:16" x14ac:dyDescent="0.25">
      <c r="I195" s="7">
        <v>191</v>
      </c>
      <c r="J195" s="8">
        <v>16.547000874568056</v>
      </c>
      <c r="K195" s="23">
        <v>0</v>
      </c>
      <c r="M195"/>
      <c r="N195"/>
      <c r="O195"/>
      <c r="P195"/>
    </row>
    <row r="196" spans="9:16" x14ac:dyDescent="0.25">
      <c r="I196" s="9">
        <v>192</v>
      </c>
      <c r="J196" s="10">
        <v>4.6438890311707297</v>
      </c>
      <c r="K196" s="23">
        <v>0</v>
      </c>
      <c r="M196"/>
      <c r="N196"/>
      <c r="O196"/>
      <c r="P196"/>
    </row>
    <row r="197" spans="9:16" x14ac:dyDescent="0.25">
      <c r="I197" s="7">
        <v>193</v>
      </c>
      <c r="J197" s="8">
        <v>38.734950375681336</v>
      </c>
      <c r="K197" s="23">
        <v>0</v>
      </c>
      <c r="M197"/>
      <c r="N197"/>
      <c r="O197"/>
      <c r="P197"/>
    </row>
    <row r="198" spans="9:16" x14ac:dyDescent="0.25">
      <c r="I198" s="9">
        <v>194</v>
      </c>
      <c r="J198" s="10">
        <v>14.635945957827374</v>
      </c>
      <c r="K198" s="23">
        <v>0</v>
      </c>
      <c r="M198"/>
      <c r="N198"/>
      <c r="O198"/>
      <c r="P198"/>
    </row>
    <row r="199" spans="9:16" x14ac:dyDescent="0.25">
      <c r="I199" s="7">
        <v>195</v>
      </c>
      <c r="J199" s="8">
        <v>10.910396090311636</v>
      </c>
      <c r="K199" s="23">
        <v>0</v>
      </c>
      <c r="M199"/>
      <c r="N199"/>
      <c r="O199"/>
      <c r="P199"/>
    </row>
    <row r="200" spans="9:16" x14ac:dyDescent="0.25">
      <c r="I200" s="9">
        <v>196</v>
      </c>
      <c r="J200" s="10">
        <v>11.01201264795688</v>
      </c>
      <c r="K200" s="23">
        <v>0</v>
      </c>
      <c r="M200"/>
      <c r="N200"/>
      <c r="O200"/>
      <c r="P200"/>
    </row>
    <row r="201" spans="9:16" x14ac:dyDescent="0.25">
      <c r="I201" s="7">
        <v>197</v>
      </c>
      <c r="J201" s="8">
        <v>8.0633258529839793</v>
      </c>
      <c r="K201" s="23">
        <v>0</v>
      </c>
      <c r="M201"/>
      <c r="N201"/>
      <c r="O201"/>
      <c r="P201"/>
    </row>
    <row r="202" spans="9:16" x14ac:dyDescent="0.25">
      <c r="I202" s="9">
        <v>198</v>
      </c>
      <c r="J202" s="10">
        <v>12.40984470156954</v>
      </c>
      <c r="K202" s="23">
        <v>0</v>
      </c>
      <c r="M202"/>
      <c r="N202"/>
      <c r="O202"/>
      <c r="P202"/>
    </row>
    <row r="203" spans="9:16" x14ac:dyDescent="0.25">
      <c r="I203" s="7">
        <v>199</v>
      </c>
      <c r="J203" s="8">
        <v>17.030536303368791</v>
      </c>
      <c r="K203" s="23">
        <v>0</v>
      </c>
      <c r="M203"/>
      <c r="N203"/>
      <c r="O203"/>
      <c r="P203"/>
    </row>
    <row r="204" spans="9:16" x14ac:dyDescent="0.25">
      <c r="I204" s="9">
        <v>200</v>
      </c>
      <c r="J204" s="10">
        <v>30.937208617708109</v>
      </c>
      <c r="K204" s="23">
        <v>0</v>
      </c>
      <c r="M204"/>
      <c r="N204"/>
      <c r="O204"/>
      <c r="P204"/>
    </row>
    <row r="205" spans="9:16" x14ac:dyDescent="0.25">
      <c r="I205" s="7">
        <v>201</v>
      </c>
      <c r="J205" s="8">
        <v>22.811445762064636</v>
      </c>
      <c r="K205" s="23">
        <v>0</v>
      </c>
      <c r="M205"/>
      <c r="N205"/>
      <c r="O205"/>
      <c r="P205"/>
    </row>
    <row r="206" spans="9:16" x14ac:dyDescent="0.25">
      <c r="I206" s="9">
        <v>202</v>
      </c>
      <c r="J206" s="10">
        <v>-8.7611358089790485</v>
      </c>
      <c r="K206" s="23">
        <v>0</v>
      </c>
      <c r="M206"/>
      <c r="N206"/>
      <c r="O206"/>
      <c r="P206"/>
    </row>
    <row r="207" spans="9:16" x14ac:dyDescent="0.25">
      <c r="I207" s="7">
        <v>203</v>
      </c>
      <c r="J207" s="8">
        <v>0.89804694909435057</v>
      </c>
      <c r="K207" s="23">
        <v>0</v>
      </c>
      <c r="M207"/>
      <c r="N207"/>
      <c r="O207"/>
      <c r="P207"/>
    </row>
    <row r="208" spans="9:16" x14ac:dyDescent="0.25">
      <c r="I208" s="9">
        <v>204</v>
      </c>
      <c r="J208" s="10">
        <v>1.8654390819182822</v>
      </c>
      <c r="K208" s="23">
        <v>0</v>
      </c>
      <c r="M208"/>
      <c r="N208"/>
      <c r="O208"/>
      <c r="P208"/>
    </row>
    <row r="209" spans="9:16" x14ac:dyDescent="0.25">
      <c r="I209" s="7">
        <v>205</v>
      </c>
      <c r="J209" s="8">
        <v>34.465870620217572</v>
      </c>
      <c r="K209" s="23">
        <v>0</v>
      </c>
      <c r="M209"/>
      <c r="N209"/>
      <c r="O209"/>
      <c r="P209"/>
    </row>
    <row r="210" spans="9:16" x14ac:dyDescent="0.25">
      <c r="I210" s="9">
        <v>206</v>
      </c>
      <c r="J210" s="10">
        <v>24.089764840380724</v>
      </c>
      <c r="K210" s="23">
        <v>0</v>
      </c>
      <c r="M210"/>
      <c r="N210"/>
      <c r="O210"/>
      <c r="P210"/>
    </row>
    <row r="211" spans="9:16" x14ac:dyDescent="0.25">
      <c r="I211" s="7">
        <v>207</v>
      </c>
      <c r="J211" s="8">
        <v>10.65227419831723</v>
      </c>
      <c r="K211" s="23">
        <v>0</v>
      </c>
      <c r="M211"/>
      <c r="N211"/>
      <c r="O211"/>
      <c r="P211"/>
    </row>
    <row r="212" spans="9:16" x14ac:dyDescent="0.25">
      <c r="I212" s="9">
        <v>208</v>
      </c>
      <c r="J212" s="10">
        <v>42.949586653372435</v>
      </c>
      <c r="K212" s="23">
        <v>0</v>
      </c>
      <c r="M212"/>
      <c r="N212"/>
      <c r="O212"/>
      <c r="P212"/>
    </row>
    <row r="213" spans="9:16" x14ac:dyDescent="0.25">
      <c r="I213" s="7">
        <v>209</v>
      </c>
      <c r="J213" s="8">
        <v>-11.177329291033374</v>
      </c>
      <c r="K213" s="23">
        <v>0</v>
      </c>
      <c r="M213"/>
      <c r="N213"/>
      <c r="O213"/>
      <c r="P213"/>
    </row>
    <row r="214" spans="9:16" x14ac:dyDescent="0.25">
      <c r="I214" s="9">
        <v>210</v>
      </c>
      <c r="J214" s="10">
        <v>32.002565804242934</v>
      </c>
      <c r="K214" s="23">
        <v>0</v>
      </c>
      <c r="M214"/>
      <c r="N214"/>
      <c r="O214"/>
      <c r="P214"/>
    </row>
    <row r="215" spans="9:16" x14ac:dyDescent="0.25">
      <c r="I215" s="7">
        <v>211</v>
      </c>
      <c r="J215" s="8">
        <v>2.49857903096256</v>
      </c>
      <c r="K215" s="23">
        <v>0</v>
      </c>
      <c r="M215"/>
      <c r="N215"/>
      <c r="O215"/>
      <c r="P215"/>
    </row>
    <row r="216" spans="9:16" x14ac:dyDescent="0.25">
      <c r="I216" s="9">
        <v>212</v>
      </c>
      <c r="J216" s="10">
        <v>21.160335408745539</v>
      </c>
      <c r="K216" s="23">
        <v>0</v>
      </c>
      <c r="M216"/>
      <c r="N216"/>
      <c r="O216"/>
      <c r="P216"/>
    </row>
    <row r="217" spans="9:16" x14ac:dyDescent="0.25">
      <c r="I217" s="7">
        <v>213</v>
      </c>
      <c r="J217" s="8">
        <v>-4.1108384129484534</v>
      </c>
      <c r="K217" s="23">
        <v>0</v>
      </c>
      <c r="M217"/>
      <c r="N217"/>
      <c r="O217"/>
      <c r="P217"/>
    </row>
    <row r="218" spans="9:16" x14ac:dyDescent="0.25">
      <c r="I218" s="9">
        <v>214</v>
      </c>
      <c r="J218" s="10">
        <v>13.232985752271048</v>
      </c>
      <c r="K218" s="23">
        <v>0</v>
      </c>
      <c r="M218"/>
      <c r="N218"/>
      <c r="O218"/>
      <c r="P218"/>
    </row>
    <row r="219" spans="9:16" x14ac:dyDescent="0.25">
      <c r="I219" s="7">
        <v>215</v>
      </c>
      <c r="J219" s="8">
        <v>42.1638994545728</v>
      </c>
      <c r="K219" s="23">
        <v>0</v>
      </c>
      <c r="M219"/>
      <c r="N219"/>
      <c r="O219"/>
      <c r="P219"/>
    </row>
    <row r="220" spans="9:16" x14ac:dyDescent="0.25">
      <c r="I220" s="9">
        <v>216</v>
      </c>
      <c r="J220" s="10">
        <v>-3.8774805813451678</v>
      </c>
      <c r="K220" s="23">
        <v>0</v>
      </c>
      <c r="M220"/>
      <c r="N220"/>
      <c r="O220"/>
      <c r="P220"/>
    </row>
    <row r="221" spans="9:16" x14ac:dyDescent="0.25">
      <c r="I221" s="7">
        <v>217</v>
      </c>
      <c r="J221" s="8">
        <v>10.631505034674234</v>
      </c>
      <c r="K221" s="23">
        <v>0</v>
      </c>
      <c r="M221"/>
      <c r="N221"/>
      <c r="O221"/>
      <c r="P221"/>
    </row>
    <row r="222" spans="9:16" x14ac:dyDescent="0.25">
      <c r="I222" s="9">
        <v>218</v>
      </c>
      <c r="J222" s="10">
        <v>-11.898926507919356</v>
      </c>
      <c r="K222" s="23">
        <v>0</v>
      </c>
      <c r="M222"/>
      <c r="N222"/>
      <c r="O222"/>
      <c r="P222"/>
    </row>
    <row r="223" spans="9:16" x14ac:dyDescent="0.25">
      <c r="I223" s="7">
        <v>219</v>
      </c>
      <c r="J223" s="8">
        <v>19.316088236458853</v>
      </c>
      <c r="K223" s="23">
        <v>0</v>
      </c>
      <c r="M223"/>
      <c r="N223"/>
      <c r="O223"/>
      <c r="P223"/>
    </row>
    <row r="224" spans="9:16" x14ac:dyDescent="0.25">
      <c r="I224" s="9">
        <v>220</v>
      </c>
      <c r="J224" s="10">
        <v>33.580051874815297</v>
      </c>
      <c r="K224" s="23">
        <v>0</v>
      </c>
      <c r="M224"/>
      <c r="N224"/>
      <c r="O224"/>
      <c r="P224"/>
    </row>
    <row r="225" spans="9:16" x14ac:dyDescent="0.25">
      <c r="I225" s="7">
        <v>221</v>
      </c>
      <c r="J225" s="8">
        <v>18.513150794830466</v>
      </c>
      <c r="K225" s="23">
        <v>0</v>
      </c>
      <c r="M225"/>
      <c r="N225"/>
      <c r="O225"/>
      <c r="P225"/>
    </row>
    <row r="226" spans="9:16" x14ac:dyDescent="0.25">
      <c r="I226" s="9">
        <v>222</v>
      </c>
      <c r="J226" s="10">
        <v>13.230819527644044</v>
      </c>
      <c r="K226" s="23">
        <v>0</v>
      </c>
      <c r="M226"/>
      <c r="N226"/>
      <c r="O226"/>
      <c r="P226"/>
    </row>
    <row r="227" spans="9:16" x14ac:dyDescent="0.25">
      <c r="I227" s="7">
        <v>223</v>
      </c>
      <c r="J227" s="8">
        <v>15.023081453503906</v>
      </c>
      <c r="K227" s="23">
        <v>0</v>
      </c>
      <c r="M227"/>
      <c r="N227"/>
      <c r="O227"/>
      <c r="P227"/>
    </row>
    <row r="228" spans="9:16" x14ac:dyDescent="0.25">
      <c r="I228" s="9">
        <v>224</v>
      </c>
      <c r="J228" s="10">
        <v>1.2195682904253147</v>
      </c>
      <c r="K228" s="23">
        <v>0</v>
      </c>
      <c r="M228"/>
      <c r="N228"/>
      <c r="O228"/>
      <c r="P228"/>
    </row>
    <row r="229" spans="9:16" x14ac:dyDescent="0.25">
      <c r="I229" s="7">
        <v>225</v>
      </c>
      <c r="J229" s="8">
        <v>19.020637201667398</v>
      </c>
      <c r="K229" s="23">
        <v>0</v>
      </c>
      <c r="M229"/>
      <c r="N229"/>
      <c r="O229"/>
      <c r="P229"/>
    </row>
    <row r="230" spans="9:16" x14ac:dyDescent="0.25">
      <c r="I230" s="9">
        <v>226</v>
      </c>
      <c r="J230" s="10">
        <v>35.550011744470453</v>
      </c>
      <c r="K230" s="23">
        <v>0</v>
      </c>
      <c r="M230"/>
      <c r="N230"/>
      <c r="O230"/>
      <c r="P230"/>
    </row>
    <row r="231" spans="9:16" x14ac:dyDescent="0.25">
      <c r="I231" s="7">
        <v>227</v>
      </c>
      <c r="J231" s="8">
        <v>2.2253989832531431</v>
      </c>
      <c r="K231" s="23">
        <v>0</v>
      </c>
      <c r="M231"/>
      <c r="N231"/>
      <c r="O231"/>
      <c r="P231"/>
    </row>
    <row r="232" spans="9:16" x14ac:dyDescent="0.25">
      <c r="I232" s="9">
        <v>228</v>
      </c>
      <c r="J232" s="10">
        <v>14.850185710865077</v>
      </c>
      <c r="K232" s="23">
        <v>0</v>
      </c>
      <c r="M232"/>
      <c r="N232"/>
      <c r="O232"/>
      <c r="P232"/>
    </row>
    <row r="233" spans="9:16" x14ac:dyDescent="0.25">
      <c r="I233" s="7">
        <v>229</v>
      </c>
      <c r="J233" s="8">
        <v>32.979514468410031</v>
      </c>
      <c r="K233" s="23">
        <v>0</v>
      </c>
      <c r="M233"/>
      <c r="N233"/>
      <c r="O233"/>
      <c r="P233"/>
    </row>
    <row r="234" spans="9:16" x14ac:dyDescent="0.25">
      <c r="I234" s="9">
        <v>230</v>
      </c>
      <c r="J234" s="10">
        <v>36.976650771881623</v>
      </c>
      <c r="K234" s="23">
        <v>0</v>
      </c>
      <c r="M234"/>
      <c r="N234"/>
      <c r="O234"/>
      <c r="P234"/>
    </row>
    <row r="235" spans="9:16" x14ac:dyDescent="0.25">
      <c r="I235" s="7">
        <v>231</v>
      </c>
      <c r="J235" s="8">
        <v>28.004022283718641</v>
      </c>
      <c r="K235" s="23">
        <v>0</v>
      </c>
      <c r="M235"/>
      <c r="N235"/>
      <c r="O235"/>
      <c r="P235"/>
    </row>
    <row r="236" spans="9:16" x14ac:dyDescent="0.25">
      <c r="I236" s="9">
        <v>232</v>
      </c>
      <c r="J236" s="10">
        <v>-0.19176375875974827</v>
      </c>
      <c r="K236" s="23">
        <v>0</v>
      </c>
      <c r="M236"/>
      <c r="N236"/>
      <c r="O236"/>
      <c r="P236"/>
    </row>
    <row r="237" spans="9:16" x14ac:dyDescent="0.25">
      <c r="I237" s="7">
        <v>233</v>
      </c>
      <c r="J237" s="8">
        <v>40.446488787400114</v>
      </c>
      <c r="K237" s="23">
        <v>0</v>
      </c>
      <c r="M237"/>
      <c r="N237"/>
      <c r="O237"/>
      <c r="P237"/>
    </row>
    <row r="238" spans="9:16" x14ac:dyDescent="0.25">
      <c r="I238" s="9">
        <v>234</v>
      </c>
      <c r="J238" s="10">
        <v>15.015922375806468</v>
      </c>
      <c r="K238" s="23">
        <v>0</v>
      </c>
      <c r="M238"/>
      <c r="N238"/>
      <c r="O238"/>
      <c r="P238"/>
    </row>
    <row r="239" spans="9:16" x14ac:dyDescent="0.25">
      <c r="I239" s="7">
        <v>235</v>
      </c>
      <c r="J239" s="8">
        <v>16.932271263582251</v>
      </c>
      <c r="K239" s="23">
        <v>0</v>
      </c>
      <c r="M239"/>
      <c r="N239"/>
      <c r="O239"/>
      <c r="P239"/>
    </row>
    <row r="240" spans="9:16" x14ac:dyDescent="0.25">
      <c r="I240" s="9">
        <v>236</v>
      </c>
      <c r="J240" s="10">
        <v>23.135779449382014</v>
      </c>
      <c r="K240" s="23">
        <v>0</v>
      </c>
      <c r="M240"/>
      <c r="N240"/>
      <c r="O240"/>
      <c r="P240"/>
    </row>
    <row r="241" spans="9:16" x14ac:dyDescent="0.25">
      <c r="I241" s="7">
        <v>237</v>
      </c>
      <c r="J241" s="8">
        <v>3.5676471887451982</v>
      </c>
      <c r="K241" s="23">
        <v>0</v>
      </c>
      <c r="M241"/>
      <c r="N241"/>
      <c r="O241"/>
      <c r="P241"/>
    </row>
    <row r="242" spans="9:16" x14ac:dyDescent="0.25">
      <c r="I242" s="9">
        <v>238</v>
      </c>
      <c r="J242" s="10">
        <v>15.76831632492086</v>
      </c>
      <c r="K242" s="23">
        <v>0</v>
      </c>
      <c r="M242"/>
      <c r="N242"/>
      <c r="O242"/>
      <c r="P242"/>
    </row>
    <row r="243" spans="9:16" x14ac:dyDescent="0.25">
      <c r="I243" s="7">
        <v>239</v>
      </c>
      <c r="J243" s="8">
        <v>-14.45716947622364</v>
      </c>
      <c r="K243" s="23">
        <v>0</v>
      </c>
      <c r="M243"/>
      <c r="N243"/>
      <c r="O243"/>
      <c r="P243"/>
    </row>
    <row r="244" spans="9:16" x14ac:dyDescent="0.25">
      <c r="I244" s="9">
        <v>240</v>
      </c>
      <c r="J244" s="10">
        <v>28.32931469210989</v>
      </c>
      <c r="K244" s="23">
        <v>0</v>
      </c>
      <c r="M244"/>
      <c r="N244"/>
      <c r="O244"/>
      <c r="P244"/>
    </row>
    <row r="245" spans="9:16" x14ac:dyDescent="0.25">
      <c r="I245" s="7">
        <v>241</v>
      </c>
      <c r="J245" s="8">
        <v>-4.2467727275796676</v>
      </c>
      <c r="K245" s="23">
        <v>0</v>
      </c>
      <c r="M245"/>
      <c r="N245"/>
      <c r="O245"/>
      <c r="P245"/>
    </row>
    <row r="246" spans="9:16" x14ac:dyDescent="0.25">
      <c r="I246" s="9">
        <v>242</v>
      </c>
      <c r="J246" s="10">
        <v>7.9576347296162453</v>
      </c>
      <c r="K246" s="23">
        <v>0</v>
      </c>
      <c r="M246"/>
      <c r="N246"/>
      <c r="O246"/>
      <c r="P246"/>
    </row>
    <row r="247" spans="9:16" x14ac:dyDescent="0.25">
      <c r="I247" s="7">
        <v>243</v>
      </c>
      <c r="J247" s="8">
        <v>3.6581805990967666</v>
      </c>
      <c r="K247" s="23">
        <v>0</v>
      </c>
      <c r="M247"/>
      <c r="N247"/>
      <c r="O247"/>
      <c r="P247"/>
    </row>
    <row r="248" spans="9:16" x14ac:dyDescent="0.25">
      <c r="I248" s="9">
        <v>244</v>
      </c>
      <c r="J248" s="10">
        <v>54.357583436014139</v>
      </c>
      <c r="K248" s="23">
        <v>0</v>
      </c>
      <c r="M248"/>
      <c r="N248"/>
      <c r="O248"/>
      <c r="P248"/>
    </row>
    <row r="249" spans="9:16" x14ac:dyDescent="0.25">
      <c r="I249" s="7">
        <v>245</v>
      </c>
      <c r="J249" s="8">
        <v>33.833720325973289</v>
      </c>
      <c r="K249" s="23">
        <v>0</v>
      </c>
      <c r="M249"/>
      <c r="N249"/>
      <c r="O249"/>
      <c r="P249"/>
    </row>
    <row r="250" spans="9:16" x14ac:dyDescent="0.25">
      <c r="I250" s="9">
        <v>246</v>
      </c>
      <c r="J250" s="10">
        <v>20.605510327570983</v>
      </c>
      <c r="K250" s="23">
        <v>0</v>
      </c>
      <c r="M250"/>
      <c r="N250"/>
      <c r="O250"/>
      <c r="P250"/>
    </row>
    <row r="251" spans="9:16" x14ac:dyDescent="0.25">
      <c r="I251" s="7">
        <v>247</v>
      </c>
      <c r="J251" s="8">
        <v>3.7231507274729267</v>
      </c>
      <c r="K251" s="23">
        <v>0</v>
      </c>
      <c r="M251"/>
      <c r="N251"/>
      <c r="O251"/>
      <c r="P251"/>
    </row>
    <row r="252" spans="9:16" x14ac:dyDescent="0.25">
      <c r="I252" s="9">
        <v>248</v>
      </c>
      <c r="J252" s="10">
        <v>15.564516273685996</v>
      </c>
      <c r="K252" s="23">
        <v>0</v>
      </c>
      <c r="M252"/>
      <c r="N252"/>
      <c r="O252"/>
      <c r="P252"/>
    </row>
    <row r="253" spans="9:16" x14ac:dyDescent="0.25">
      <c r="I253" s="7">
        <v>249</v>
      </c>
      <c r="J253" s="8">
        <v>21.849099058440174</v>
      </c>
      <c r="K253" s="23">
        <v>0</v>
      </c>
      <c r="M253"/>
      <c r="N253"/>
      <c r="O253"/>
      <c r="P253"/>
    </row>
    <row r="254" spans="9:16" x14ac:dyDescent="0.25">
      <c r="I254" s="9">
        <v>250</v>
      </c>
      <c r="J254" s="10">
        <v>24.822660219883204</v>
      </c>
      <c r="K254" s="23">
        <v>0</v>
      </c>
      <c r="M254"/>
      <c r="N254"/>
      <c r="O254"/>
      <c r="P254"/>
    </row>
    <row r="255" spans="9:16" x14ac:dyDescent="0.25">
      <c r="I255" s="7">
        <v>251</v>
      </c>
      <c r="J255" s="8">
        <v>2.5390778360678468</v>
      </c>
      <c r="K255" s="23">
        <v>0</v>
      </c>
      <c r="M255"/>
      <c r="N255"/>
      <c r="O255"/>
      <c r="P255"/>
    </row>
    <row r="256" spans="9:16" x14ac:dyDescent="0.25">
      <c r="I256" s="9">
        <v>252</v>
      </c>
      <c r="J256" s="10">
        <v>31.681738352522913</v>
      </c>
      <c r="K256" s="23">
        <v>0</v>
      </c>
      <c r="M256"/>
      <c r="N256"/>
      <c r="O256"/>
      <c r="P256"/>
    </row>
    <row r="257" spans="9:16" x14ac:dyDescent="0.25">
      <c r="I257" s="7">
        <v>253</v>
      </c>
      <c r="J257" s="8">
        <v>40.099323086902359</v>
      </c>
      <c r="K257" s="23">
        <v>0</v>
      </c>
      <c r="M257"/>
      <c r="N257"/>
      <c r="O257"/>
      <c r="P257"/>
    </row>
    <row r="258" spans="9:16" x14ac:dyDescent="0.25">
      <c r="I258" s="9">
        <v>254</v>
      </c>
      <c r="J258" s="10">
        <v>14.01868480981534</v>
      </c>
      <c r="K258" s="23">
        <v>0</v>
      </c>
      <c r="M258"/>
      <c r="N258"/>
      <c r="O258"/>
      <c r="P258"/>
    </row>
    <row r="259" spans="9:16" x14ac:dyDescent="0.25">
      <c r="I259" s="7">
        <v>255</v>
      </c>
      <c r="J259" s="8">
        <v>-0.40469512860275358</v>
      </c>
      <c r="K259" s="23">
        <v>0</v>
      </c>
      <c r="M259"/>
      <c r="N259"/>
      <c r="O259"/>
      <c r="P259"/>
    </row>
    <row r="260" spans="9:16" x14ac:dyDescent="0.25">
      <c r="I260" s="9">
        <v>256</v>
      </c>
      <c r="J260" s="10">
        <v>11.061966137734061</v>
      </c>
      <c r="K260" s="23">
        <v>0</v>
      </c>
      <c r="M260"/>
      <c r="N260"/>
      <c r="O260"/>
      <c r="P260"/>
    </row>
    <row r="261" spans="9:16" x14ac:dyDescent="0.25">
      <c r="I261" s="7">
        <v>257</v>
      </c>
      <c r="J261" s="8">
        <v>24.549009255273518</v>
      </c>
      <c r="K261" s="23">
        <v>0</v>
      </c>
      <c r="M261"/>
      <c r="N261"/>
      <c r="O261"/>
      <c r="P261"/>
    </row>
    <row r="262" spans="9:16" x14ac:dyDescent="0.25">
      <c r="I262" s="9">
        <v>258</v>
      </c>
      <c r="J262" s="10">
        <v>46.366250131992985</v>
      </c>
      <c r="K262" s="23">
        <v>0</v>
      </c>
      <c r="M262"/>
      <c r="N262"/>
      <c r="O262"/>
      <c r="P262"/>
    </row>
    <row r="263" spans="9:16" x14ac:dyDescent="0.25">
      <c r="I263" s="7">
        <v>259</v>
      </c>
      <c r="J263" s="8">
        <v>8.8249214375415761</v>
      </c>
      <c r="K263" s="23">
        <v>0</v>
      </c>
      <c r="M263"/>
      <c r="N263"/>
      <c r="O263"/>
      <c r="P263"/>
    </row>
    <row r="264" spans="9:16" x14ac:dyDescent="0.25">
      <c r="I264" s="9">
        <v>260</v>
      </c>
      <c r="J264" s="10">
        <v>21.456108706203977</v>
      </c>
      <c r="K264" s="23">
        <v>0</v>
      </c>
      <c r="M264"/>
      <c r="N264"/>
      <c r="O264"/>
      <c r="P264"/>
    </row>
    <row r="265" spans="9:16" x14ac:dyDescent="0.25">
      <c r="I265" s="7">
        <v>261</v>
      </c>
      <c r="J265" s="8">
        <v>18.846767264897849</v>
      </c>
      <c r="K265" s="23">
        <v>0</v>
      </c>
      <c r="M265"/>
      <c r="N265"/>
      <c r="O265"/>
      <c r="P265"/>
    </row>
    <row r="266" spans="9:16" x14ac:dyDescent="0.25">
      <c r="I266" s="9">
        <v>262</v>
      </c>
      <c r="J266" s="10">
        <v>9.5124372617201942</v>
      </c>
      <c r="K266" s="23">
        <v>0</v>
      </c>
      <c r="M266"/>
      <c r="N266"/>
      <c r="O266"/>
      <c r="P266"/>
    </row>
    <row r="267" spans="9:16" x14ac:dyDescent="0.25">
      <c r="I267" s="7">
        <v>263</v>
      </c>
      <c r="J267" s="8">
        <v>14.818618088958985</v>
      </c>
      <c r="K267" s="23">
        <v>0</v>
      </c>
      <c r="M267"/>
      <c r="N267"/>
      <c r="O267"/>
      <c r="P267"/>
    </row>
    <row r="268" spans="9:16" x14ac:dyDescent="0.25">
      <c r="I268" s="9">
        <v>264</v>
      </c>
      <c r="J268" s="10">
        <v>8.2832403442767202</v>
      </c>
      <c r="K268" s="23">
        <v>0</v>
      </c>
      <c r="M268"/>
      <c r="N268"/>
      <c r="O268"/>
      <c r="P268"/>
    </row>
    <row r="269" spans="9:16" x14ac:dyDescent="0.25">
      <c r="I269" s="7">
        <v>265</v>
      </c>
      <c r="J269" s="8">
        <v>2.3542587311728909</v>
      </c>
      <c r="K269" s="23">
        <v>0</v>
      </c>
      <c r="M269"/>
      <c r="N269"/>
      <c r="O269"/>
      <c r="P269"/>
    </row>
    <row r="270" spans="9:16" x14ac:dyDescent="0.25">
      <c r="I270" s="9">
        <v>266</v>
      </c>
      <c r="J270" s="10">
        <v>29.619109964140975</v>
      </c>
      <c r="K270" s="23">
        <v>0</v>
      </c>
      <c r="M270"/>
      <c r="N270"/>
      <c r="O270"/>
      <c r="P270"/>
    </row>
    <row r="271" spans="9:16" x14ac:dyDescent="0.25">
      <c r="I271" s="7">
        <v>267</v>
      </c>
      <c r="J271" s="8">
        <v>11.863050726153944</v>
      </c>
      <c r="K271" s="23">
        <v>0</v>
      </c>
      <c r="M271"/>
      <c r="N271"/>
      <c r="O271"/>
      <c r="P271"/>
    </row>
    <row r="272" spans="9:16" x14ac:dyDescent="0.25">
      <c r="I272" s="9">
        <v>268</v>
      </c>
      <c r="J272" s="10">
        <v>6.9554847482630038</v>
      </c>
      <c r="K272" s="23">
        <v>0</v>
      </c>
      <c r="M272"/>
      <c r="N272"/>
      <c r="O272"/>
      <c r="P272"/>
    </row>
    <row r="273" spans="9:16" x14ac:dyDescent="0.25">
      <c r="I273" s="7">
        <v>269</v>
      </c>
      <c r="J273" s="8">
        <v>6.0942203263099231</v>
      </c>
      <c r="K273" s="23">
        <v>0</v>
      </c>
      <c r="M273"/>
      <c r="N273"/>
      <c r="O273"/>
      <c r="P273"/>
    </row>
    <row r="274" spans="9:16" x14ac:dyDescent="0.25">
      <c r="I274" s="9">
        <v>270</v>
      </c>
      <c r="J274" s="10">
        <v>11.228929486445935</v>
      </c>
      <c r="K274" s="23">
        <v>0</v>
      </c>
      <c r="M274"/>
      <c r="N274"/>
      <c r="O274"/>
      <c r="P274"/>
    </row>
    <row r="275" spans="9:16" x14ac:dyDescent="0.25">
      <c r="I275" s="7">
        <v>271</v>
      </c>
      <c r="J275" s="8">
        <v>27.191354961894348</v>
      </c>
      <c r="K275" s="23">
        <v>0</v>
      </c>
      <c r="M275"/>
      <c r="N275"/>
      <c r="O275"/>
      <c r="P275"/>
    </row>
    <row r="276" spans="9:16" x14ac:dyDescent="0.25">
      <c r="I276" s="9">
        <v>272</v>
      </c>
      <c r="J276" s="10">
        <v>25.959462371228113</v>
      </c>
      <c r="K276" s="23">
        <v>0</v>
      </c>
      <c r="M276"/>
      <c r="N276"/>
      <c r="O276"/>
      <c r="P276"/>
    </row>
    <row r="277" spans="9:16" x14ac:dyDescent="0.25">
      <c r="I277" s="7">
        <v>273</v>
      </c>
      <c r="J277" s="8">
        <v>-6.5508893661206287</v>
      </c>
      <c r="K277" s="23">
        <v>0</v>
      </c>
      <c r="M277"/>
      <c r="N277"/>
      <c r="O277"/>
      <c r="P277"/>
    </row>
    <row r="278" spans="9:16" x14ac:dyDescent="0.25">
      <c r="I278" s="9">
        <v>274</v>
      </c>
      <c r="J278" s="10">
        <v>-6.6691542320852477</v>
      </c>
      <c r="K278" s="23">
        <v>0</v>
      </c>
      <c r="M278"/>
      <c r="N278"/>
      <c r="O278"/>
      <c r="P278"/>
    </row>
    <row r="279" spans="9:16" x14ac:dyDescent="0.25">
      <c r="I279" s="7">
        <v>275</v>
      </c>
      <c r="J279" s="8">
        <v>22.414986848130141</v>
      </c>
      <c r="K279" s="23">
        <v>0</v>
      </c>
      <c r="M279"/>
      <c r="N279"/>
      <c r="O279"/>
      <c r="P279"/>
    </row>
    <row r="280" spans="9:16" x14ac:dyDescent="0.25">
      <c r="I280" s="9">
        <v>276</v>
      </c>
      <c r="J280" s="10">
        <v>36.315644427924397</v>
      </c>
      <c r="K280" s="23">
        <v>0</v>
      </c>
      <c r="M280"/>
      <c r="N280"/>
      <c r="O280"/>
      <c r="P280"/>
    </row>
    <row r="281" spans="9:16" x14ac:dyDescent="0.25">
      <c r="I281" s="7">
        <v>277</v>
      </c>
      <c r="J281" s="8">
        <v>28.394550252310779</v>
      </c>
      <c r="K281" s="23">
        <v>0</v>
      </c>
      <c r="M281"/>
      <c r="N281"/>
      <c r="O281"/>
      <c r="P281"/>
    </row>
    <row r="282" spans="9:16" x14ac:dyDescent="0.25">
      <c r="I282" s="9">
        <v>278</v>
      </c>
      <c r="J282" s="10">
        <v>23.047840284143049</v>
      </c>
      <c r="K282" s="23">
        <v>0</v>
      </c>
      <c r="M282"/>
      <c r="N282"/>
      <c r="O282"/>
      <c r="P282"/>
    </row>
    <row r="283" spans="9:16" x14ac:dyDescent="0.25">
      <c r="I283" s="7">
        <v>279</v>
      </c>
      <c r="J283" s="8">
        <v>21.77800119237925</v>
      </c>
      <c r="K283" s="23">
        <v>0</v>
      </c>
      <c r="M283"/>
      <c r="N283"/>
      <c r="O283"/>
      <c r="P283"/>
    </row>
    <row r="284" spans="9:16" x14ac:dyDescent="0.25">
      <c r="I284" s="9">
        <v>280</v>
      </c>
      <c r="J284" s="10">
        <v>-13.265891503781575</v>
      </c>
      <c r="K284" s="23">
        <v>0</v>
      </c>
      <c r="M284"/>
      <c r="N284"/>
      <c r="O284"/>
      <c r="P284"/>
    </row>
    <row r="285" spans="9:16" x14ac:dyDescent="0.25">
      <c r="I285" s="7">
        <v>281</v>
      </c>
      <c r="J285" s="8">
        <v>8.7505148858655559</v>
      </c>
      <c r="K285" s="23">
        <v>0</v>
      </c>
      <c r="M285"/>
      <c r="N285"/>
      <c r="O285"/>
      <c r="P285"/>
    </row>
    <row r="286" spans="9:16" x14ac:dyDescent="0.25">
      <c r="I286" s="9">
        <v>282</v>
      </c>
      <c r="J286" s="10">
        <v>18.604348713834128</v>
      </c>
      <c r="K286" s="23">
        <v>0</v>
      </c>
      <c r="M286"/>
      <c r="N286"/>
      <c r="O286"/>
      <c r="P286"/>
    </row>
    <row r="287" spans="9:16" x14ac:dyDescent="0.25">
      <c r="I287" s="7">
        <v>283</v>
      </c>
      <c r="J287" s="8">
        <v>10.736354493653494</v>
      </c>
      <c r="K287" s="23">
        <v>0</v>
      </c>
      <c r="M287"/>
      <c r="N287"/>
      <c r="O287"/>
      <c r="P287"/>
    </row>
    <row r="288" spans="9:16" x14ac:dyDescent="0.25">
      <c r="I288" s="9">
        <v>284</v>
      </c>
      <c r="J288" s="10">
        <v>10.489956339512503</v>
      </c>
      <c r="K288" s="23">
        <v>0</v>
      </c>
      <c r="M288"/>
      <c r="N288"/>
      <c r="O288"/>
      <c r="P288"/>
    </row>
    <row r="289" spans="9:16" x14ac:dyDescent="0.25">
      <c r="I289" s="7">
        <v>285</v>
      </c>
      <c r="J289" s="8">
        <v>14.621505795313681</v>
      </c>
      <c r="K289" s="23">
        <v>0</v>
      </c>
      <c r="M289"/>
      <c r="N289"/>
      <c r="O289"/>
      <c r="P289"/>
    </row>
    <row r="290" spans="9:16" x14ac:dyDescent="0.25">
      <c r="I290" s="9">
        <v>286</v>
      </c>
      <c r="J290" s="10">
        <v>29.942895430557087</v>
      </c>
      <c r="K290" s="23">
        <v>0</v>
      </c>
      <c r="M290"/>
      <c r="N290"/>
      <c r="O290"/>
      <c r="P290"/>
    </row>
    <row r="291" spans="9:16" x14ac:dyDescent="0.25">
      <c r="I291" s="7">
        <v>287</v>
      </c>
      <c r="J291" s="8">
        <v>10.368470135344197</v>
      </c>
      <c r="K291" s="23">
        <v>0</v>
      </c>
      <c r="M291"/>
      <c r="N291"/>
      <c r="O291"/>
      <c r="P291"/>
    </row>
    <row r="292" spans="9:16" x14ac:dyDescent="0.25">
      <c r="I292" s="9">
        <v>288</v>
      </c>
      <c r="J292" s="10">
        <v>45.055768424842739</v>
      </c>
      <c r="K292" s="23">
        <v>0</v>
      </c>
      <c r="M292"/>
      <c r="N292"/>
      <c r="O292"/>
      <c r="P292"/>
    </row>
    <row r="293" spans="9:16" x14ac:dyDescent="0.25">
      <c r="I293" s="7">
        <v>289</v>
      </c>
      <c r="J293" s="8">
        <v>8.2489737729906665</v>
      </c>
      <c r="K293" s="23">
        <v>0</v>
      </c>
      <c r="M293"/>
      <c r="N293"/>
      <c r="O293"/>
      <c r="P293"/>
    </row>
    <row r="294" spans="9:16" x14ac:dyDescent="0.25">
      <c r="I294" s="9">
        <v>290</v>
      </c>
      <c r="J294" s="10">
        <v>29.320573939316645</v>
      </c>
      <c r="K294" s="23">
        <v>0</v>
      </c>
      <c r="M294"/>
      <c r="N294"/>
      <c r="O294"/>
      <c r="P294"/>
    </row>
    <row r="295" spans="9:16" x14ac:dyDescent="0.25">
      <c r="I295" s="7">
        <v>291</v>
      </c>
      <c r="J295" s="8">
        <v>0.66067638963025388</v>
      </c>
      <c r="K295" s="23">
        <v>0</v>
      </c>
      <c r="M295"/>
      <c r="N295"/>
      <c r="O295"/>
      <c r="P295"/>
    </row>
    <row r="296" spans="9:16" x14ac:dyDescent="0.25">
      <c r="I296" s="9">
        <v>292</v>
      </c>
      <c r="J296" s="10">
        <v>35.07830145340651</v>
      </c>
      <c r="K296" s="23">
        <v>0</v>
      </c>
      <c r="M296"/>
      <c r="N296"/>
      <c r="O296"/>
      <c r="P296"/>
    </row>
    <row r="297" spans="9:16" x14ac:dyDescent="0.25">
      <c r="I297" s="7">
        <v>293</v>
      </c>
      <c r="J297" s="8">
        <v>3.6066756764797816</v>
      </c>
      <c r="K297" s="23">
        <v>0</v>
      </c>
      <c r="M297"/>
      <c r="N297"/>
      <c r="O297"/>
      <c r="P297"/>
    </row>
    <row r="298" spans="9:16" x14ac:dyDescent="0.25">
      <c r="I298" s="9">
        <v>294</v>
      </c>
      <c r="J298" s="10">
        <v>44.446422020641549</v>
      </c>
      <c r="K298" s="23">
        <v>0</v>
      </c>
      <c r="M298"/>
      <c r="N298"/>
      <c r="O298"/>
      <c r="P298"/>
    </row>
    <row r="299" spans="9:16" x14ac:dyDescent="0.25">
      <c r="I299" s="7">
        <v>295</v>
      </c>
      <c r="J299" s="8">
        <v>11.830129346421515</v>
      </c>
      <c r="K299" s="23">
        <v>0</v>
      </c>
      <c r="M299"/>
      <c r="N299"/>
      <c r="O299"/>
      <c r="P299"/>
    </row>
    <row r="300" spans="9:16" x14ac:dyDescent="0.25">
      <c r="I300" s="9">
        <v>296</v>
      </c>
      <c r="J300" s="10">
        <v>10.130161091646443</v>
      </c>
      <c r="K300" s="23">
        <v>0</v>
      </c>
      <c r="M300"/>
      <c r="N300"/>
      <c r="O300"/>
      <c r="P300"/>
    </row>
    <row r="301" spans="9:16" x14ac:dyDescent="0.25">
      <c r="I301" s="7">
        <v>297</v>
      </c>
      <c r="J301" s="8">
        <v>13.395706529530031</v>
      </c>
      <c r="K301" s="23">
        <v>0</v>
      </c>
      <c r="M301"/>
      <c r="N301"/>
      <c r="O301"/>
      <c r="P301"/>
    </row>
    <row r="302" spans="9:16" x14ac:dyDescent="0.25">
      <c r="I302" s="9">
        <v>298</v>
      </c>
      <c r="J302" s="10">
        <v>0.33974429776918669</v>
      </c>
      <c r="K302" s="23">
        <v>0</v>
      </c>
      <c r="M302"/>
      <c r="N302"/>
      <c r="O302"/>
      <c r="P302"/>
    </row>
    <row r="303" spans="9:16" x14ac:dyDescent="0.25">
      <c r="I303" s="7">
        <v>299</v>
      </c>
      <c r="J303" s="8">
        <v>-8.1913500498560268</v>
      </c>
      <c r="K303" s="23">
        <v>0</v>
      </c>
      <c r="M303"/>
      <c r="N303"/>
      <c r="O303"/>
      <c r="P303"/>
    </row>
    <row r="304" spans="9:16" x14ac:dyDescent="0.25">
      <c r="I304" s="9">
        <v>300</v>
      </c>
      <c r="J304" s="10">
        <v>16.760148765547228</v>
      </c>
      <c r="K304" s="23">
        <v>0</v>
      </c>
      <c r="M304"/>
      <c r="N304"/>
      <c r="O304"/>
      <c r="P304"/>
    </row>
    <row r="305" spans="9:16" x14ac:dyDescent="0.25">
      <c r="I305" s="7">
        <v>301</v>
      </c>
      <c r="J305" s="8">
        <v>31.605164156627183</v>
      </c>
      <c r="K305" s="23">
        <v>0</v>
      </c>
      <c r="M305"/>
      <c r="N305"/>
      <c r="O305"/>
      <c r="P305"/>
    </row>
    <row r="306" spans="9:16" x14ac:dyDescent="0.25">
      <c r="I306" s="9">
        <v>302</v>
      </c>
      <c r="J306" s="10">
        <v>43.304416788705453</v>
      </c>
      <c r="K306" s="23">
        <v>0</v>
      </c>
      <c r="M306"/>
      <c r="N306"/>
      <c r="O306"/>
      <c r="P306"/>
    </row>
    <row r="307" spans="9:16" x14ac:dyDescent="0.25">
      <c r="I307" s="7">
        <v>303</v>
      </c>
      <c r="J307" s="8">
        <v>4.117733090697385</v>
      </c>
      <c r="K307" s="23">
        <v>0</v>
      </c>
      <c r="M307"/>
      <c r="N307"/>
      <c r="O307"/>
      <c r="P307"/>
    </row>
    <row r="308" spans="9:16" x14ac:dyDescent="0.25">
      <c r="I308" s="9">
        <v>304</v>
      </c>
      <c r="J308" s="10">
        <v>10.483918286134141</v>
      </c>
      <c r="K308" s="23">
        <v>0</v>
      </c>
      <c r="M308"/>
      <c r="N308"/>
      <c r="O308"/>
      <c r="P308"/>
    </row>
    <row r="309" spans="9:16" x14ac:dyDescent="0.25">
      <c r="I309" s="7">
        <v>305</v>
      </c>
      <c r="J309" s="8">
        <v>33.76883531735696</v>
      </c>
      <c r="K309" s="23">
        <v>0</v>
      </c>
      <c r="M309"/>
      <c r="N309"/>
      <c r="O309"/>
      <c r="P309"/>
    </row>
    <row r="310" spans="9:16" x14ac:dyDescent="0.25">
      <c r="I310" s="9">
        <v>306</v>
      </c>
      <c r="J310" s="10">
        <v>-17.05236240412836</v>
      </c>
      <c r="K310" s="23">
        <v>0</v>
      </c>
      <c r="M310"/>
      <c r="N310"/>
      <c r="O310"/>
      <c r="P310"/>
    </row>
    <row r="311" spans="9:16" x14ac:dyDescent="0.25">
      <c r="I311" s="7">
        <v>307</v>
      </c>
      <c r="J311" s="8">
        <v>3.2362229268891838</v>
      </c>
      <c r="K311" s="23">
        <v>0</v>
      </c>
      <c r="M311"/>
      <c r="N311"/>
      <c r="O311"/>
      <c r="P311"/>
    </row>
    <row r="312" spans="9:16" x14ac:dyDescent="0.25">
      <c r="I312" s="9">
        <v>308</v>
      </c>
      <c r="J312" s="10">
        <v>3.4642110068394629</v>
      </c>
      <c r="K312" s="23">
        <v>0</v>
      </c>
      <c r="M312"/>
      <c r="N312"/>
      <c r="O312"/>
      <c r="P312"/>
    </row>
    <row r="313" spans="9:16" x14ac:dyDescent="0.25">
      <c r="I313" s="7">
        <v>309</v>
      </c>
      <c r="J313" s="8">
        <v>28.501081497752523</v>
      </c>
      <c r="K313" s="23">
        <v>0</v>
      </c>
      <c r="M313"/>
      <c r="N313"/>
      <c r="O313"/>
      <c r="P313"/>
    </row>
    <row r="314" spans="9:16" x14ac:dyDescent="0.25">
      <c r="I314" s="9">
        <v>310</v>
      </c>
      <c r="J314" s="10">
        <v>19.126285935046354</v>
      </c>
      <c r="K314" s="23">
        <v>0</v>
      </c>
      <c r="M314"/>
      <c r="N314"/>
      <c r="O314"/>
      <c r="P314"/>
    </row>
    <row r="315" spans="9:16" x14ac:dyDescent="0.25">
      <c r="I315" s="7">
        <v>311</v>
      </c>
      <c r="J315" s="8">
        <v>10.351570500471311</v>
      </c>
      <c r="K315" s="23">
        <v>0</v>
      </c>
      <c r="M315"/>
      <c r="N315"/>
      <c r="O315"/>
      <c r="P315"/>
    </row>
    <row r="316" spans="9:16" x14ac:dyDescent="0.25">
      <c r="I316" s="9">
        <v>312</v>
      </c>
      <c r="J316" s="10">
        <v>10.058062849770209</v>
      </c>
      <c r="K316" s="23">
        <v>0</v>
      </c>
      <c r="M316"/>
      <c r="N316"/>
      <c r="O316"/>
      <c r="P316"/>
    </row>
    <row r="317" spans="9:16" x14ac:dyDescent="0.25">
      <c r="I317" s="7">
        <v>313</v>
      </c>
      <c r="J317" s="8">
        <v>7.8644557732353064</v>
      </c>
      <c r="K317" s="23">
        <v>0</v>
      </c>
      <c r="M317"/>
      <c r="N317"/>
      <c r="O317"/>
      <c r="P317"/>
    </row>
    <row r="318" spans="9:16" x14ac:dyDescent="0.25">
      <c r="I318" s="9">
        <v>314</v>
      </c>
      <c r="J318" s="10">
        <v>-2.4792950066621984</v>
      </c>
      <c r="K318" s="23">
        <v>0</v>
      </c>
      <c r="M318"/>
      <c r="N318"/>
      <c r="O318"/>
      <c r="P318"/>
    </row>
    <row r="319" spans="9:16" x14ac:dyDescent="0.25">
      <c r="I319" s="7">
        <v>315</v>
      </c>
      <c r="J319" s="8">
        <v>39.042335019683804</v>
      </c>
      <c r="K319" s="23">
        <v>0</v>
      </c>
      <c r="M319"/>
      <c r="N319"/>
      <c r="O319"/>
      <c r="P319"/>
    </row>
    <row r="320" spans="9:16" x14ac:dyDescent="0.25">
      <c r="I320" s="9">
        <v>316</v>
      </c>
      <c r="J320" s="10">
        <v>26.05444706000759</v>
      </c>
      <c r="K320" s="23">
        <v>0</v>
      </c>
      <c r="M320"/>
      <c r="N320"/>
      <c r="O320"/>
      <c r="P320"/>
    </row>
    <row r="321" spans="9:16" x14ac:dyDescent="0.25">
      <c r="I321" s="7">
        <v>317</v>
      </c>
      <c r="J321" s="8">
        <v>-27.816024967552224</v>
      </c>
      <c r="K321" s="23">
        <v>0</v>
      </c>
      <c r="M321"/>
      <c r="N321"/>
      <c r="O321"/>
      <c r="P321"/>
    </row>
    <row r="322" spans="9:16" x14ac:dyDescent="0.25">
      <c r="I322" s="9">
        <v>318</v>
      </c>
      <c r="J322" s="10">
        <v>28.596876510235148</v>
      </c>
      <c r="K322" s="23">
        <v>0</v>
      </c>
      <c r="M322"/>
      <c r="N322"/>
      <c r="O322"/>
      <c r="P322"/>
    </row>
    <row r="323" spans="9:16" x14ac:dyDescent="0.25">
      <c r="I323" s="7">
        <v>319</v>
      </c>
      <c r="J323" s="8">
        <v>21.603585718948935</v>
      </c>
      <c r="K323" s="23">
        <v>0</v>
      </c>
      <c r="M323"/>
      <c r="N323"/>
      <c r="O323"/>
      <c r="P323"/>
    </row>
    <row r="324" spans="9:16" x14ac:dyDescent="0.25">
      <c r="I324" s="9">
        <v>320</v>
      </c>
      <c r="J324" s="10">
        <v>-2.5905699211249384</v>
      </c>
      <c r="K324" s="23">
        <v>0</v>
      </c>
      <c r="M324"/>
      <c r="N324"/>
      <c r="O324"/>
      <c r="P324"/>
    </row>
    <row r="325" spans="9:16" x14ac:dyDescent="0.25">
      <c r="I325" s="7">
        <v>321</v>
      </c>
      <c r="J325" s="8">
        <v>11.888719024273513</v>
      </c>
      <c r="K325" s="23">
        <v>0</v>
      </c>
      <c r="M325"/>
      <c r="N325"/>
      <c r="O325"/>
      <c r="P325"/>
    </row>
    <row r="326" spans="9:16" x14ac:dyDescent="0.25">
      <c r="I326" s="9">
        <v>322</v>
      </c>
      <c r="J326" s="10">
        <v>20.209117199962634</v>
      </c>
      <c r="K326" s="23">
        <v>0</v>
      </c>
      <c r="M326"/>
      <c r="N326"/>
      <c r="O326"/>
      <c r="P326"/>
    </row>
    <row r="327" spans="9:16" x14ac:dyDescent="0.25">
      <c r="I327" s="7">
        <v>323</v>
      </c>
      <c r="J327" s="8">
        <v>-4.760164302497401</v>
      </c>
      <c r="K327" s="23">
        <v>0</v>
      </c>
      <c r="M327"/>
      <c r="N327"/>
      <c r="O327"/>
      <c r="P327"/>
    </row>
    <row r="328" spans="9:16" x14ac:dyDescent="0.25">
      <c r="I328" s="9">
        <v>324</v>
      </c>
      <c r="J328" s="10">
        <v>-15.857445000316787</v>
      </c>
      <c r="K328" s="23">
        <v>0</v>
      </c>
      <c r="M328"/>
      <c r="N328"/>
      <c r="O328"/>
      <c r="P328"/>
    </row>
    <row r="329" spans="9:16" x14ac:dyDescent="0.25">
      <c r="I329" s="7">
        <v>325</v>
      </c>
      <c r="J329" s="8">
        <v>17.655025371758867</v>
      </c>
      <c r="K329" s="23">
        <v>0</v>
      </c>
      <c r="M329"/>
      <c r="N329"/>
      <c r="O329"/>
      <c r="P329"/>
    </row>
    <row r="330" spans="9:16" x14ac:dyDescent="0.25">
      <c r="I330" s="9">
        <v>326</v>
      </c>
      <c r="J330" s="10">
        <v>51.271872299205654</v>
      </c>
      <c r="K330" s="23">
        <v>0</v>
      </c>
      <c r="M330"/>
      <c r="N330"/>
      <c r="O330"/>
      <c r="P330"/>
    </row>
    <row r="331" spans="9:16" x14ac:dyDescent="0.25">
      <c r="I331" s="7">
        <v>327</v>
      </c>
      <c r="J331" s="8">
        <v>7.9625308879888905</v>
      </c>
      <c r="K331" s="23">
        <v>0</v>
      </c>
      <c r="M331"/>
      <c r="N331"/>
      <c r="O331"/>
      <c r="P331"/>
    </row>
    <row r="332" spans="9:16" x14ac:dyDescent="0.25">
      <c r="I332" s="9">
        <v>328</v>
      </c>
      <c r="J332" s="10">
        <v>-24.316482994575779</v>
      </c>
      <c r="K332" s="23">
        <v>0</v>
      </c>
      <c r="M332"/>
      <c r="N332"/>
      <c r="O332"/>
      <c r="P332"/>
    </row>
    <row r="333" spans="9:16" x14ac:dyDescent="0.25">
      <c r="I333" s="7">
        <v>329</v>
      </c>
      <c r="J333" s="8">
        <v>-6.807849390179868</v>
      </c>
      <c r="K333" s="23">
        <v>0</v>
      </c>
      <c r="M333"/>
      <c r="N333"/>
      <c r="O333"/>
      <c r="P333"/>
    </row>
    <row r="334" spans="9:16" x14ac:dyDescent="0.25">
      <c r="I334" s="9">
        <v>330</v>
      </c>
      <c r="J334" s="10">
        <v>10.874311927831485</v>
      </c>
      <c r="K334" s="23">
        <v>0</v>
      </c>
      <c r="M334"/>
      <c r="N334"/>
      <c r="O334"/>
      <c r="P334"/>
    </row>
    <row r="335" spans="9:16" x14ac:dyDescent="0.25">
      <c r="I335" s="7">
        <v>331</v>
      </c>
      <c r="J335" s="8">
        <v>30.195690633820817</v>
      </c>
      <c r="K335" s="23">
        <v>0</v>
      </c>
      <c r="M335"/>
      <c r="N335"/>
      <c r="O335"/>
      <c r="P335"/>
    </row>
    <row r="336" spans="9:16" x14ac:dyDescent="0.25">
      <c r="I336" s="9">
        <v>332</v>
      </c>
      <c r="J336" s="10">
        <v>42.74633293839878</v>
      </c>
      <c r="K336" s="23">
        <v>0</v>
      </c>
      <c r="M336"/>
      <c r="N336"/>
      <c r="O336"/>
      <c r="P336"/>
    </row>
    <row r="337" spans="9:16" x14ac:dyDescent="0.25">
      <c r="I337" s="7">
        <v>333</v>
      </c>
      <c r="J337" s="8">
        <v>0.22085064869386883</v>
      </c>
      <c r="K337" s="23">
        <v>0</v>
      </c>
      <c r="M337"/>
      <c r="N337"/>
      <c r="O337"/>
      <c r="P337"/>
    </row>
    <row r="338" spans="9:16" x14ac:dyDescent="0.25">
      <c r="I338" s="9">
        <v>334</v>
      </c>
      <c r="J338" s="10">
        <v>21.820583414205529</v>
      </c>
      <c r="K338" s="23">
        <v>0</v>
      </c>
      <c r="M338"/>
      <c r="N338"/>
      <c r="O338"/>
      <c r="P338"/>
    </row>
    <row r="339" spans="9:16" x14ac:dyDescent="0.25">
      <c r="I339" s="7">
        <v>335</v>
      </c>
      <c r="J339" s="8">
        <v>1.1825392819186504</v>
      </c>
      <c r="K339" s="23">
        <v>0</v>
      </c>
      <c r="M339"/>
      <c r="N339"/>
      <c r="O339"/>
      <c r="P339"/>
    </row>
    <row r="340" spans="9:16" x14ac:dyDescent="0.25">
      <c r="I340" s="9">
        <v>336</v>
      </c>
      <c r="J340" s="10">
        <v>15.572636278562669</v>
      </c>
      <c r="K340" s="23">
        <v>0</v>
      </c>
      <c r="M340"/>
      <c r="N340"/>
      <c r="O340"/>
      <c r="P340"/>
    </row>
    <row r="341" spans="9:16" x14ac:dyDescent="0.25">
      <c r="I341" s="7">
        <v>337</v>
      </c>
      <c r="J341" s="8">
        <v>1.7531652758342204</v>
      </c>
      <c r="K341" s="23">
        <v>0</v>
      </c>
      <c r="M341"/>
      <c r="N341"/>
      <c r="O341"/>
      <c r="P341"/>
    </row>
    <row r="342" spans="9:16" x14ac:dyDescent="0.25">
      <c r="I342" s="9">
        <v>338</v>
      </c>
      <c r="J342" s="10">
        <v>32.570642244375719</v>
      </c>
      <c r="K342" s="23">
        <v>0</v>
      </c>
      <c r="M342"/>
      <c r="N342"/>
      <c r="O342"/>
      <c r="P342"/>
    </row>
    <row r="343" spans="9:16" x14ac:dyDescent="0.25">
      <c r="I343" s="7">
        <v>339</v>
      </c>
      <c r="J343" s="8">
        <v>-10.282838136932327</v>
      </c>
      <c r="K343" s="23">
        <v>0</v>
      </c>
      <c r="M343"/>
      <c r="N343"/>
      <c r="O343"/>
      <c r="P343"/>
    </row>
    <row r="344" spans="9:16" x14ac:dyDescent="0.25">
      <c r="I344" s="9">
        <v>340</v>
      </c>
      <c r="J344" s="10">
        <v>28.506645691769293</v>
      </c>
      <c r="K344" s="23">
        <v>0</v>
      </c>
      <c r="M344"/>
      <c r="N344"/>
      <c r="O344"/>
      <c r="P344"/>
    </row>
    <row r="345" spans="9:16" x14ac:dyDescent="0.25">
      <c r="I345" s="7">
        <v>341</v>
      </c>
      <c r="J345" s="8">
        <v>40.304482548525954</v>
      </c>
      <c r="K345" s="23">
        <v>0</v>
      </c>
      <c r="M345"/>
      <c r="N345"/>
      <c r="O345"/>
      <c r="P345"/>
    </row>
    <row r="346" spans="9:16" x14ac:dyDescent="0.25">
      <c r="I346" s="9">
        <v>342</v>
      </c>
      <c r="J346" s="10">
        <v>11.639625959539472</v>
      </c>
      <c r="K346" s="23">
        <v>0</v>
      </c>
      <c r="M346"/>
      <c r="N346"/>
      <c r="O346"/>
      <c r="P346"/>
    </row>
    <row r="347" spans="9:16" x14ac:dyDescent="0.25">
      <c r="I347" s="7">
        <v>343</v>
      </c>
      <c r="J347" s="8">
        <v>27.016859985778979</v>
      </c>
      <c r="K347" s="23">
        <v>0</v>
      </c>
      <c r="M347"/>
      <c r="N347"/>
      <c r="O347"/>
      <c r="P347"/>
    </row>
    <row r="348" spans="9:16" x14ac:dyDescent="0.25">
      <c r="I348" s="9">
        <v>344</v>
      </c>
      <c r="J348" s="10">
        <v>19.974001555838583</v>
      </c>
      <c r="K348" s="23">
        <v>0</v>
      </c>
      <c r="M348"/>
      <c r="N348"/>
      <c r="O348"/>
      <c r="P348"/>
    </row>
    <row r="349" spans="9:16" x14ac:dyDescent="0.25">
      <c r="I349" s="7">
        <v>345</v>
      </c>
      <c r="J349" s="8">
        <v>-20.419455248424384</v>
      </c>
      <c r="K349" s="23">
        <v>0</v>
      </c>
      <c r="M349"/>
      <c r="N349"/>
      <c r="O349"/>
      <c r="P349"/>
    </row>
    <row r="350" spans="9:16" x14ac:dyDescent="0.25">
      <c r="I350" s="9">
        <v>346</v>
      </c>
      <c r="J350" s="10">
        <v>10.720438817502938</v>
      </c>
      <c r="K350" s="23">
        <v>0</v>
      </c>
      <c r="M350"/>
      <c r="N350"/>
      <c r="O350"/>
      <c r="P350"/>
    </row>
    <row r="351" spans="9:16" x14ac:dyDescent="0.25">
      <c r="I351" s="7">
        <v>347</v>
      </c>
      <c r="J351" s="8">
        <v>9.8500357493333013</v>
      </c>
      <c r="K351" s="23">
        <v>0</v>
      </c>
      <c r="M351"/>
      <c r="N351"/>
      <c r="O351"/>
      <c r="P351"/>
    </row>
    <row r="352" spans="9:16" x14ac:dyDescent="0.25">
      <c r="I352" s="9">
        <v>348</v>
      </c>
      <c r="J352" s="10">
        <v>24.764970280986276</v>
      </c>
      <c r="K352" s="23">
        <v>0</v>
      </c>
      <c r="M352"/>
      <c r="N352"/>
      <c r="O352"/>
      <c r="P352"/>
    </row>
    <row r="353" spans="9:16" x14ac:dyDescent="0.25">
      <c r="I353" s="7">
        <v>349</v>
      </c>
      <c r="J353" s="8">
        <v>30.807805429394293</v>
      </c>
      <c r="K353" s="23">
        <v>0</v>
      </c>
      <c r="M353"/>
      <c r="N353"/>
      <c r="O353"/>
      <c r="P353"/>
    </row>
    <row r="354" spans="9:16" x14ac:dyDescent="0.25">
      <c r="I354" s="9">
        <v>350</v>
      </c>
      <c r="J354" s="10">
        <v>-5.4192240316444895</v>
      </c>
      <c r="K354" s="23">
        <v>0</v>
      </c>
      <c r="M354"/>
      <c r="N354"/>
      <c r="O354"/>
      <c r="P354"/>
    </row>
    <row r="355" spans="9:16" x14ac:dyDescent="0.25">
      <c r="I355" s="7">
        <v>351</v>
      </c>
      <c r="J355" s="8">
        <v>17.580494705639239</v>
      </c>
      <c r="K355" s="23">
        <v>0</v>
      </c>
      <c r="M355"/>
      <c r="N355"/>
      <c r="O355"/>
      <c r="P355"/>
    </row>
    <row r="356" spans="9:16" x14ac:dyDescent="0.25">
      <c r="I356" s="9">
        <v>352</v>
      </c>
      <c r="J356" s="10">
        <v>32.350257723645726</v>
      </c>
      <c r="K356" s="23">
        <v>0</v>
      </c>
      <c r="M356"/>
      <c r="N356"/>
      <c r="O356"/>
      <c r="P356"/>
    </row>
    <row r="357" spans="9:16" x14ac:dyDescent="0.25">
      <c r="I357" s="7">
        <v>353</v>
      </c>
      <c r="J357" s="8">
        <v>34.026512499977031</v>
      </c>
      <c r="K357" s="23">
        <v>0</v>
      </c>
      <c r="M357"/>
      <c r="N357"/>
      <c r="O357"/>
      <c r="P357"/>
    </row>
    <row r="358" spans="9:16" x14ac:dyDescent="0.25">
      <c r="I358" s="9">
        <v>354</v>
      </c>
      <c r="J358" s="10">
        <v>-7.0421545010133855</v>
      </c>
      <c r="K358" s="23">
        <v>0</v>
      </c>
      <c r="M358"/>
      <c r="N358"/>
      <c r="O358"/>
      <c r="P358"/>
    </row>
    <row r="359" spans="9:16" x14ac:dyDescent="0.25">
      <c r="I359" s="7">
        <v>355</v>
      </c>
      <c r="J359" s="8">
        <v>21.620564204099495</v>
      </c>
      <c r="K359" s="23">
        <v>0</v>
      </c>
      <c r="M359"/>
      <c r="N359"/>
      <c r="O359"/>
      <c r="P359"/>
    </row>
    <row r="360" spans="9:16" x14ac:dyDescent="0.25">
      <c r="I360" s="9">
        <v>356</v>
      </c>
      <c r="J360" s="10">
        <v>14.050234079899553</v>
      </c>
      <c r="K360" s="23">
        <v>0</v>
      </c>
      <c r="M360"/>
      <c r="N360"/>
      <c r="O360"/>
      <c r="P360"/>
    </row>
    <row r="361" spans="9:16" x14ac:dyDescent="0.25">
      <c r="I361" s="7">
        <v>357</v>
      </c>
      <c r="J361" s="8">
        <v>0.95175195163626825</v>
      </c>
      <c r="K361" s="23">
        <v>0</v>
      </c>
      <c r="M361"/>
      <c r="N361"/>
      <c r="O361"/>
      <c r="P361"/>
    </row>
    <row r="362" spans="9:16" x14ac:dyDescent="0.25">
      <c r="I362" s="9">
        <v>358</v>
      </c>
      <c r="J362" s="10">
        <v>7.1284604965103142</v>
      </c>
      <c r="K362" s="23">
        <v>0</v>
      </c>
      <c r="M362"/>
      <c r="N362"/>
      <c r="O362"/>
      <c r="P362"/>
    </row>
    <row r="363" spans="9:16" x14ac:dyDescent="0.25">
      <c r="I363" s="7">
        <v>359</v>
      </c>
      <c r="J363" s="8">
        <v>8.1416203544042105</v>
      </c>
      <c r="K363" s="23">
        <v>0</v>
      </c>
      <c r="M363"/>
      <c r="N363"/>
      <c r="O363"/>
      <c r="P363"/>
    </row>
    <row r="364" spans="9:16" x14ac:dyDescent="0.25">
      <c r="I364" s="9">
        <v>360</v>
      </c>
      <c r="J364" s="10">
        <v>18.670982514495961</v>
      </c>
      <c r="K364" s="23">
        <v>0</v>
      </c>
      <c r="M364"/>
      <c r="N364"/>
      <c r="O364"/>
      <c r="P364"/>
    </row>
    <row r="365" spans="9:16" x14ac:dyDescent="0.25">
      <c r="I365" s="7">
        <v>361</v>
      </c>
      <c r="J365" s="8">
        <v>3.8219943069968849</v>
      </c>
      <c r="K365" s="23">
        <v>0</v>
      </c>
      <c r="M365"/>
      <c r="N365"/>
      <c r="O365"/>
      <c r="P365"/>
    </row>
    <row r="366" spans="9:16" x14ac:dyDescent="0.25">
      <c r="I366" s="9">
        <v>362</v>
      </c>
      <c r="J366" s="10">
        <v>26.565486414966799</v>
      </c>
      <c r="K366" s="23">
        <v>0</v>
      </c>
      <c r="M366"/>
      <c r="N366"/>
      <c r="O366"/>
      <c r="P366"/>
    </row>
    <row r="367" spans="9:16" x14ac:dyDescent="0.25">
      <c r="I367" s="7">
        <v>363</v>
      </c>
      <c r="J367" s="8">
        <v>-7.1412718443958028</v>
      </c>
      <c r="K367" s="23">
        <v>0</v>
      </c>
      <c r="M367"/>
      <c r="N367"/>
      <c r="O367"/>
      <c r="P367"/>
    </row>
    <row r="368" spans="9:16" x14ac:dyDescent="0.25">
      <c r="I368" s="9">
        <v>364</v>
      </c>
      <c r="J368" s="10">
        <v>7.2666233598669976</v>
      </c>
      <c r="K368" s="23">
        <v>0</v>
      </c>
      <c r="M368"/>
      <c r="N368"/>
      <c r="O368"/>
      <c r="P368"/>
    </row>
    <row r="369" spans="9:16" x14ac:dyDescent="0.25">
      <c r="I369" s="7">
        <v>365</v>
      </c>
      <c r="J369" s="8">
        <v>0.40750135583778047</v>
      </c>
      <c r="K369" s="23">
        <v>0</v>
      </c>
      <c r="M369"/>
      <c r="N369"/>
      <c r="O369"/>
      <c r="P369"/>
    </row>
    <row r="370" spans="9:16" x14ac:dyDescent="0.25">
      <c r="I370" s="9">
        <v>366</v>
      </c>
      <c r="J370" s="10">
        <v>24.602931635134837</v>
      </c>
      <c r="K370" s="23">
        <v>0</v>
      </c>
      <c r="M370"/>
      <c r="N370"/>
      <c r="O370"/>
      <c r="P370"/>
    </row>
    <row r="371" spans="9:16" x14ac:dyDescent="0.25">
      <c r="I371" s="7">
        <v>367</v>
      </c>
      <c r="J371" s="8">
        <v>31.1056435120788</v>
      </c>
      <c r="K371" s="23">
        <v>0</v>
      </c>
      <c r="M371"/>
      <c r="N371"/>
      <c r="O371"/>
      <c r="P371"/>
    </row>
    <row r="372" spans="9:16" x14ac:dyDescent="0.25">
      <c r="I372" s="9">
        <v>368</v>
      </c>
      <c r="J372" s="10">
        <v>26.299607574968007</v>
      </c>
      <c r="K372" s="23">
        <v>0</v>
      </c>
      <c r="M372"/>
      <c r="N372"/>
      <c r="O372"/>
      <c r="P372"/>
    </row>
    <row r="373" spans="9:16" x14ac:dyDescent="0.25">
      <c r="I373" s="7">
        <v>369</v>
      </c>
      <c r="J373" s="8">
        <v>8.5147150176997286</v>
      </c>
      <c r="K373" s="23">
        <v>0</v>
      </c>
      <c r="M373"/>
      <c r="N373"/>
      <c r="O373"/>
      <c r="P373"/>
    </row>
    <row r="374" spans="9:16" x14ac:dyDescent="0.25">
      <c r="I374" s="9">
        <v>370</v>
      </c>
      <c r="J374" s="10">
        <v>48.324033944162863</v>
      </c>
      <c r="K374" s="23">
        <v>0</v>
      </c>
      <c r="M374"/>
      <c r="N374"/>
      <c r="O374"/>
      <c r="P374"/>
    </row>
    <row r="375" spans="9:16" x14ac:dyDescent="0.25">
      <c r="I375" s="7">
        <v>371</v>
      </c>
      <c r="J375" s="8">
        <v>13.77348427869515</v>
      </c>
      <c r="K375" s="23">
        <v>0</v>
      </c>
      <c r="M375"/>
      <c r="N375"/>
      <c r="O375"/>
      <c r="P375"/>
    </row>
    <row r="376" spans="9:16" x14ac:dyDescent="0.25">
      <c r="I376" s="9">
        <v>372</v>
      </c>
      <c r="J376" s="10">
        <v>17.922881412765889</v>
      </c>
      <c r="K376" s="23">
        <v>0</v>
      </c>
      <c r="M376"/>
      <c r="N376"/>
      <c r="O376"/>
      <c r="P376"/>
    </row>
    <row r="377" spans="9:16" x14ac:dyDescent="0.25">
      <c r="I377" s="7">
        <v>373</v>
      </c>
      <c r="J377" s="8">
        <v>16.714070845616774</v>
      </c>
      <c r="K377" s="23">
        <v>0</v>
      </c>
      <c r="M377"/>
      <c r="N377"/>
      <c r="O377"/>
      <c r="P377"/>
    </row>
    <row r="378" spans="9:16" x14ac:dyDescent="0.25">
      <c r="I378" s="9">
        <v>374</v>
      </c>
      <c r="J378" s="10">
        <v>18.565475445425761</v>
      </c>
      <c r="K378" s="23">
        <v>0</v>
      </c>
      <c r="M378"/>
      <c r="N378"/>
      <c r="O378"/>
      <c r="P378"/>
    </row>
    <row r="379" spans="9:16" x14ac:dyDescent="0.25">
      <c r="I379" s="7">
        <v>375</v>
      </c>
      <c r="J379" s="8">
        <v>12.43940922458917</v>
      </c>
      <c r="K379" s="23">
        <v>0</v>
      </c>
      <c r="M379"/>
      <c r="N379"/>
      <c r="O379"/>
      <c r="P379"/>
    </row>
    <row r="380" spans="9:16" x14ac:dyDescent="0.25">
      <c r="I380" s="9">
        <v>376</v>
      </c>
      <c r="J380" s="10">
        <v>27.906625185440674</v>
      </c>
      <c r="K380" s="23">
        <v>0</v>
      </c>
      <c r="M380"/>
      <c r="N380"/>
      <c r="O380"/>
      <c r="P380"/>
    </row>
    <row r="381" spans="9:16" x14ac:dyDescent="0.25">
      <c r="I381" s="7">
        <v>377</v>
      </c>
      <c r="J381" s="8">
        <v>3.0167214783761551</v>
      </c>
      <c r="K381" s="23">
        <v>0</v>
      </c>
      <c r="M381"/>
      <c r="N381"/>
      <c r="O381"/>
      <c r="P381"/>
    </row>
    <row r="382" spans="9:16" x14ac:dyDescent="0.25">
      <c r="I382" s="9">
        <v>378</v>
      </c>
      <c r="J382" s="10">
        <v>29.808286148996331</v>
      </c>
      <c r="K382" s="23">
        <v>0</v>
      </c>
      <c r="M382"/>
      <c r="N382"/>
      <c r="O382"/>
      <c r="P382"/>
    </row>
    <row r="383" spans="9:16" x14ac:dyDescent="0.25">
      <c r="I383" s="7">
        <v>379</v>
      </c>
      <c r="J383" s="8">
        <v>17.298991533428037</v>
      </c>
      <c r="K383" s="23">
        <v>0</v>
      </c>
      <c r="M383"/>
      <c r="N383"/>
      <c r="O383"/>
      <c r="P383"/>
    </row>
    <row r="384" spans="9:16" x14ac:dyDescent="0.25">
      <c r="I384" s="9">
        <v>380</v>
      </c>
      <c r="J384" s="10">
        <v>-8.7240939991544195</v>
      </c>
      <c r="K384" s="23">
        <v>0</v>
      </c>
      <c r="M384"/>
      <c r="N384"/>
      <c r="O384"/>
      <c r="P384"/>
    </row>
    <row r="385" spans="9:16" x14ac:dyDescent="0.25">
      <c r="I385" s="7">
        <v>381</v>
      </c>
      <c r="J385" s="8">
        <v>-4.2177033212703634</v>
      </c>
      <c r="K385" s="23">
        <v>0</v>
      </c>
      <c r="M385"/>
      <c r="N385"/>
      <c r="O385"/>
      <c r="P385"/>
    </row>
    <row r="386" spans="9:16" x14ac:dyDescent="0.25">
      <c r="I386" s="9">
        <v>382</v>
      </c>
      <c r="J386" s="10">
        <v>20.7596908001278</v>
      </c>
      <c r="K386" s="23">
        <v>0</v>
      </c>
      <c r="M386"/>
      <c r="N386"/>
      <c r="O386"/>
      <c r="P386"/>
    </row>
    <row r="387" spans="9:16" x14ac:dyDescent="0.25">
      <c r="I387" s="7">
        <v>383</v>
      </c>
      <c r="J387" s="8">
        <v>-2.8425874155347657</v>
      </c>
      <c r="K387" s="23">
        <v>0</v>
      </c>
      <c r="M387"/>
      <c r="N387"/>
      <c r="O387"/>
      <c r="P387"/>
    </row>
    <row r="388" spans="9:16" x14ac:dyDescent="0.25">
      <c r="I388" s="9">
        <v>384</v>
      </c>
      <c r="J388" s="10">
        <v>20.603749952106909</v>
      </c>
      <c r="K388" s="23">
        <v>0</v>
      </c>
      <c r="M388"/>
      <c r="N388"/>
      <c r="O388"/>
      <c r="P388"/>
    </row>
    <row r="389" spans="9:16" x14ac:dyDescent="0.25">
      <c r="I389" s="7">
        <v>385</v>
      </c>
      <c r="J389" s="8">
        <v>9.1953262989336793</v>
      </c>
      <c r="K389" s="23">
        <v>0</v>
      </c>
      <c r="M389"/>
      <c r="N389"/>
      <c r="O389"/>
      <c r="P389"/>
    </row>
    <row r="390" spans="9:16" x14ac:dyDescent="0.25">
      <c r="I390" s="9">
        <v>386</v>
      </c>
      <c r="J390" s="10">
        <v>5.2315926342985222</v>
      </c>
      <c r="K390" s="23">
        <v>0</v>
      </c>
      <c r="M390"/>
      <c r="N390"/>
      <c r="O390"/>
      <c r="P390"/>
    </row>
    <row r="391" spans="9:16" x14ac:dyDescent="0.25">
      <c r="I391" s="7">
        <v>387</v>
      </c>
      <c r="J391" s="8">
        <v>8.8633030748147803</v>
      </c>
      <c r="K391" s="23">
        <v>0</v>
      </c>
      <c r="M391"/>
      <c r="N391"/>
      <c r="O391"/>
      <c r="P391"/>
    </row>
    <row r="392" spans="9:16" x14ac:dyDescent="0.25">
      <c r="I392" s="9">
        <v>388</v>
      </c>
      <c r="J392" s="10">
        <v>53.786211119826717</v>
      </c>
      <c r="K392" s="23">
        <v>0</v>
      </c>
      <c r="M392"/>
      <c r="N392"/>
      <c r="O392"/>
      <c r="P392"/>
    </row>
    <row r="393" spans="9:16" x14ac:dyDescent="0.25">
      <c r="I393" s="7">
        <v>389</v>
      </c>
      <c r="J393" s="8">
        <v>-0.59739236725602041</v>
      </c>
      <c r="K393" s="23">
        <v>0</v>
      </c>
      <c r="M393"/>
      <c r="N393"/>
      <c r="O393"/>
      <c r="P393"/>
    </row>
    <row r="394" spans="9:16" x14ac:dyDescent="0.25">
      <c r="I394" s="9">
        <v>390</v>
      </c>
      <c r="J394" s="10">
        <v>-5.1591881461747278</v>
      </c>
      <c r="K394" s="23">
        <v>0</v>
      </c>
      <c r="M394"/>
      <c r="N394"/>
      <c r="O394"/>
      <c r="P394"/>
    </row>
    <row r="395" spans="9:16" x14ac:dyDescent="0.25">
      <c r="I395" s="7">
        <v>391</v>
      </c>
      <c r="J395" s="8">
        <v>-4.5792926134401739</v>
      </c>
      <c r="K395" s="23">
        <v>0</v>
      </c>
      <c r="M395"/>
      <c r="N395"/>
      <c r="O395"/>
      <c r="P395"/>
    </row>
    <row r="396" spans="9:16" x14ac:dyDescent="0.25">
      <c r="I396" s="9">
        <v>392</v>
      </c>
      <c r="J396" s="10">
        <v>18.323750835463954</v>
      </c>
      <c r="K396" s="23">
        <v>0</v>
      </c>
      <c r="M396"/>
      <c r="N396"/>
      <c r="O396"/>
      <c r="P396"/>
    </row>
    <row r="397" spans="9:16" x14ac:dyDescent="0.25">
      <c r="I397" s="7">
        <v>393</v>
      </c>
      <c r="J397" s="8">
        <v>6.8871868692551743</v>
      </c>
      <c r="K397" s="23">
        <v>0</v>
      </c>
      <c r="M397"/>
      <c r="N397"/>
      <c r="O397"/>
      <c r="P397"/>
    </row>
    <row r="398" spans="9:16" x14ac:dyDescent="0.25">
      <c r="I398" s="9">
        <v>394</v>
      </c>
      <c r="J398" s="10">
        <v>30.967339707909133</v>
      </c>
      <c r="K398" s="23">
        <v>0</v>
      </c>
      <c r="M398"/>
      <c r="N398"/>
      <c r="O398"/>
      <c r="P398"/>
    </row>
    <row r="399" spans="9:16" x14ac:dyDescent="0.25">
      <c r="I399" s="7">
        <v>395</v>
      </c>
      <c r="J399" s="8">
        <v>34.445533375027424</v>
      </c>
      <c r="K399" s="23">
        <v>0</v>
      </c>
      <c r="M399"/>
      <c r="N399"/>
      <c r="O399"/>
      <c r="P399"/>
    </row>
    <row r="400" spans="9:16" x14ac:dyDescent="0.25">
      <c r="I400" s="9">
        <v>396</v>
      </c>
      <c r="J400" s="10">
        <v>3.9621823557829146</v>
      </c>
      <c r="K400" s="23">
        <v>0</v>
      </c>
      <c r="M400"/>
      <c r="N400"/>
      <c r="O400"/>
      <c r="P400"/>
    </row>
    <row r="401" spans="9:16" x14ac:dyDescent="0.25">
      <c r="I401" s="7">
        <v>397</v>
      </c>
      <c r="J401" s="8">
        <v>21.08636916884285</v>
      </c>
      <c r="K401" s="23">
        <v>0</v>
      </c>
      <c r="M401"/>
      <c r="N401"/>
      <c r="O401"/>
      <c r="P401"/>
    </row>
    <row r="402" spans="9:16" x14ac:dyDescent="0.25">
      <c r="I402" s="9">
        <v>398</v>
      </c>
      <c r="J402" s="10">
        <v>35.259503263595875</v>
      </c>
      <c r="K402" s="23">
        <v>0</v>
      </c>
      <c r="M402"/>
      <c r="N402"/>
      <c r="O402"/>
      <c r="P402"/>
    </row>
    <row r="403" spans="9:16" x14ac:dyDescent="0.25">
      <c r="I403" s="7">
        <v>399</v>
      </c>
      <c r="J403" s="8">
        <v>10.755297863861216</v>
      </c>
      <c r="K403" s="23">
        <v>0</v>
      </c>
      <c r="M403"/>
      <c r="N403"/>
      <c r="O403"/>
      <c r="P403"/>
    </row>
    <row r="404" spans="9:16" x14ac:dyDescent="0.25">
      <c r="I404" s="9">
        <v>400</v>
      </c>
      <c r="J404" s="10">
        <v>1.6900644916958356</v>
      </c>
      <c r="K404" s="23">
        <v>0</v>
      </c>
      <c r="M404"/>
      <c r="N404"/>
      <c r="O404"/>
      <c r="P404"/>
    </row>
    <row r="405" spans="9:16" x14ac:dyDescent="0.25">
      <c r="I405" s="7">
        <v>401</v>
      </c>
      <c r="J405" s="8">
        <v>25.050435604186845</v>
      </c>
      <c r="K405" s="23">
        <v>0</v>
      </c>
      <c r="M405"/>
      <c r="N405"/>
      <c r="O405"/>
      <c r="P405"/>
    </row>
    <row r="406" spans="9:16" x14ac:dyDescent="0.25">
      <c r="I406" s="9">
        <v>402</v>
      </c>
      <c r="J406" s="10">
        <v>-0.71031514682761099</v>
      </c>
      <c r="K406" s="23">
        <v>0</v>
      </c>
      <c r="M406"/>
      <c r="N406"/>
      <c r="O406"/>
      <c r="P406"/>
    </row>
    <row r="407" spans="9:16" x14ac:dyDescent="0.25">
      <c r="I407" s="7">
        <v>403</v>
      </c>
      <c r="J407" s="8">
        <v>23.414173970879773</v>
      </c>
      <c r="K407" s="23">
        <v>0</v>
      </c>
      <c r="M407"/>
      <c r="N407"/>
      <c r="O407"/>
      <c r="P407"/>
    </row>
    <row r="408" spans="9:16" x14ac:dyDescent="0.25">
      <c r="I408" s="9">
        <v>404</v>
      </c>
      <c r="J408" s="10">
        <v>21.225800396726484</v>
      </c>
      <c r="K408" s="23">
        <v>0</v>
      </c>
      <c r="M408"/>
      <c r="N408"/>
      <c r="O408"/>
      <c r="P408"/>
    </row>
    <row r="409" spans="9:16" x14ac:dyDescent="0.25">
      <c r="I409" s="7">
        <v>405</v>
      </c>
      <c r="J409" s="8">
        <v>7.4614379081893674</v>
      </c>
      <c r="K409" s="23">
        <v>0</v>
      </c>
      <c r="M409"/>
      <c r="N409"/>
      <c r="O409"/>
      <c r="P409"/>
    </row>
    <row r="410" spans="9:16" x14ac:dyDescent="0.25">
      <c r="I410" s="9">
        <v>406</v>
      </c>
      <c r="J410" s="10">
        <v>24.031725670011269</v>
      </c>
      <c r="K410" s="23">
        <v>0</v>
      </c>
      <c r="M410"/>
      <c r="N410"/>
      <c r="O410"/>
      <c r="P410"/>
    </row>
    <row r="411" spans="9:16" x14ac:dyDescent="0.25">
      <c r="I411" s="7">
        <v>407</v>
      </c>
      <c r="J411" s="8">
        <v>-14.090929488543537</v>
      </c>
      <c r="K411" s="23">
        <v>0</v>
      </c>
      <c r="M411"/>
      <c r="N411"/>
      <c r="O411"/>
      <c r="P411"/>
    </row>
    <row r="412" spans="9:16" x14ac:dyDescent="0.25">
      <c r="I412" s="9">
        <v>408</v>
      </c>
      <c r="J412" s="10">
        <v>15.845424971416719</v>
      </c>
      <c r="K412" s="23">
        <v>0</v>
      </c>
      <c r="M412"/>
      <c r="N412"/>
      <c r="O412"/>
      <c r="P412"/>
    </row>
    <row r="413" spans="9:16" x14ac:dyDescent="0.25">
      <c r="I413" s="7">
        <v>409</v>
      </c>
      <c r="J413" s="8">
        <v>12.262340206667901</v>
      </c>
      <c r="K413" s="23">
        <v>0</v>
      </c>
      <c r="M413"/>
      <c r="N413"/>
      <c r="O413"/>
      <c r="P413"/>
    </row>
    <row r="414" spans="9:16" x14ac:dyDescent="0.25">
      <c r="I414" s="9">
        <v>410</v>
      </c>
      <c r="J414" s="10">
        <v>34.93061312731183</v>
      </c>
      <c r="K414" s="23">
        <v>0</v>
      </c>
      <c r="M414"/>
      <c r="N414"/>
      <c r="O414"/>
      <c r="P414"/>
    </row>
    <row r="415" spans="9:16" x14ac:dyDescent="0.25">
      <c r="I415" s="7">
        <v>411</v>
      </c>
      <c r="J415" s="8">
        <v>-11.50653341808497</v>
      </c>
      <c r="K415" s="23">
        <v>0</v>
      </c>
      <c r="M415"/>
      <c r="N415"/>
      <c r="O415"/>
      <c r="P415"/>
    </row>
    <row r="416" spans="9:16" x14ac:dyDescent="0.25">
      <c r="I416" s="9">
        <v>412</v>
      </c>
      <c r="J416" s="10">
        <v>9.8210844731547411</v>
      </c>
      <c r="K416" s="23">
        <v>0</v>
      </c>
      <c r="M416"/>
      <c r="N416"/>
      <c r="O416"/>
      <c r="P416"/>
    </row>
    <row r="417" spans="9:16" x14ac:dyDescent="0.25">
      <c r="I417" s="7">
        <v>413</v>
      </c>
      <c r="J417" s="8">
        <v>53.089419989653564</v>
      </c>
      <c r="K417" s="23">
        <v>0</v>
      </c>
      <c r="M417"/>
      <c r="N417"/>
      <c r="O417"/>
      <c r="P417"/>
    </row>
    <row r="418" spans="9:16" x14ac:dyDescent="0.25">
      <c r="I418" s="9">
        <v>414</v>
      </c>
      <c r="J418" s="10">
        <v>-19.705889275011344</v>
      </c>
      <c r="K418" s="23">
        <v>0</v>
      </c>
      <c r="M418"/>
      <c r="N418"/>
      <c r="O418"/>
      <c r="P418"/>
    </row>
    <row r="419" spans="9:16" x14ac:dyDescent="0.25">
      <c r="I419" s="7">
        <v>415</v>
      </c>
      <c r="J419" s="8">
        <v>15.338697133485397</v>
      </c>
      <c r="K419" s="23">
        <v>0</v>
      </c>
      <c r="M419"/>
      <c r="N419"/>
      <c r="O419"/>
      <c r="P419"/>
    </row>
    <row r="420" spans="9:16" x14ac:dyDescent="0.25">
      <c r="I420" s="9">
        <v>416</v>
      </c>
      <c r="J420" s="10">
        <v>11.053611822282079</v>
      </c>
      <c r="K420" s="23">
        <v>0</v>
      </c>
      <c r="M420"/>
      <c r="N420"/>
      <c r="O420"/>
      <c r="P420"/>
    </row>
    <row r="421" spans="9:16" x14ac:dyDescent="0.25">
      <c r="I421" s="7">
        <v>417</v>
      </c>
      <c r="J421" s="8">
        <v>18.726519805842798</v>
      </c>
      <c r="K421" s="23">
        <v>0</v>
      </c>
      <c r="M421"/>
      <c r="N421"/>
      <c r="O421"/>
      <c r="P421"/>
    </row>
    <row r="422" spans="9:16" x14ac:dyDescent="0.25">
      <c r="I422" s="9">
        <v>418</v>
      </c>
      <c r="J422" s="10">
        <v>-9.21449809605447</v>
      </c>
      <c r="K422" s="23">
        <v>0</v>
      </c>
      <c r="M422"/>
      <c r="N422"/>
      <c r="O422"/>
      <c r="P422"/>
    </row>
    <row r="423" spans="9:16" x14ac:dyDescent="0.25">
      <c r="I423" s="7">
        <v>419</v>
      </c>
      <c r="J423" s="8">
        <v>37.502424216005124</v>
      </c>
      <c r="K423" s="23">
        <v>0</v>
      </c>
      <c r="M423"/>
      <c r="N423"/>
      <c r="O423"/>
      <c r="P423"/>
    </row>
    <row r="424" spans="9:16" x14ac:dyDescent="0.25">
      <c r="I424" s="9">
        <v>420</v>
      </c>
      <c r="J424" s="10">
        <v>1.1721004246676472</v>
      </c>
      <c r="K424" s="23">
        <v>0</v>
      </c>
      <c r="M424"/>
      <c r="N424"/>
      <c r="O424"/>
      <c r="P424"/>
    </row>
    <row r="425" spans="9:16" x14ac:dyDescent="0.25">
      <c r="I425" s="7">
        <v>421</v>
      </c>
      <c r="J425" s="8">
        <v>0.62319186364544521</v>
      </c>
      <c r="K425" s="23">
        <v>0</v>
      </c>
      <c r="M425"/>
      <c r="N425"/>
      <c r="O425"/>
      <c r="P425"/>
    </row>
    <row r="426" spans="9:16" x14ac:dyDescent="0.25">
      <c r="I426" s="9">
        <v>422</v>
      </c>
      <c r="J426" s="10">
        <v>-20.139869205757634</v>
      </c>
      <c r="K426" s="23">
        <v>0</v>
      </c>
      <c r="M426"/>
      <c r="N426"/>
      <c r="O426"/>
      <c r="P426"/>
    </row>
    <row r="427" spans="9:16" x14ac:dyDescent="0.25">
      <c r="I427" s="7">
        <v>423</v>
      </c>
      <c r="J427" s="8">
        <v>-3.4271815200997935</v>
      </c>
      <c r="K427" s="23">
        <v>0</v>
      </c>
      <c r="M427"/>
      <c r="N427"/>
      <c r="O427"/>
      <c r="P427"/>
    </row>
    <row r="428" spans="9:16" x14ac:dyDescent="0.25">
      <c r="I428" s="9">
        <v>424</v>
      </c>
      <c r="J428" s="10">
        <v>3.268824969651277</v>
      </c>
      <c r="K428" s="23">
        <v>0</v>
      </c>
      <c r="M428"/>
      <c r="N428"/>
      <c r="O428"/>
      <c r="P428"/>
    </row>
    <row r="429" spans="9:16" x14ac:dyDescent="0.25">
      <c r="I429" s="7">
        <v>425</v>
      </c>
      <c r="J429" s="8">
        <v>24.655477187385415</v>
      </c>
      <c r="K429" s="23">
        <v>0</v>
      </c>
      <c r="M429"/>
      <c r="N429"/>
      <c r="O429"/>
      <c r="P429"/>
    </row>
    <row r="430" spans="9:16" x14ac:dyDescent="0.25">
      <c r="I430" s="9">
        <v>426</v>
      </c>
      <c r="J430" s="10">
        <v>1.13525891519987</v>
      </c>
      <c r="K430" s="23">
        <v>0</v>
      </c>
      <c r="M430"/>
      <c r="N430"/>
      <c r="O430"/>
      <c r="P430"/>
    </row>
    <row r="431" spans="9:16" x14ac:dyDescent="0.25">
      <c r="I431" s="7">
        <v>427</v>
      </c>
      <c r="J431" s="8">
        <v>43.394470644874616</v>
      </c>
      <c r="K431" s="23">
        <v>0</v>
      </c>
      <c r="M431"/>
      <c r="N431"/>
      <c r="O431"/>
      <c r="P431"/>
    </row>
    <row r="432" spans="9:16" x14ac:dyDescent="0.25">
      <c r="I432" s="9">
        <v>428</v>
      </c>
      <c r="J432" s="10">
        <v>33.234762328153039</v>
      </c>
      <c r="K432" s="23">
        <v>0</v>
      </c>
      <c r="M432"/>
      <c r="N432"/>
      <c r="O432"/>
      <c r="P432"/>
    </row>
    <row r="433" spans="9:16" x14ac:dyDescent="0.25">
      <c r="I433" s="7">
        <v>429</v>
      </c>
      <c r="J433" s="8">
        <v>17.440544465342811</v>
      </c>
      <c r="K433" s="23">
        <v>0</v>
      </c>
      <c r="M433"/>
      <c r="N433"/>
      <c r="O433"/>
      <c r="P433"/>
    </row>
    <row r="434" spans="9:16" x14ac:dyDescent="0.25">
      <c r="I434" s="9">
        <v>430</v>
      </c>
      <c r="J434" s="10">
        <v>23.364975060504946</v>
      </c>
      <c r="K434" s="23">
        <v>0</v>
      </c>
      <c r="M434"/>
      <c r="N434"/>
      <c r="O434"/>
      <c r="P434"/>
    </row>
    <row r="435" spans="9:16" x14ac:dyDescent="0.25">
      <c r="I435" s="7">
        <v>431</v>
      </c>
      <c r="J435" s="8">
        <v>4.1519750728626263</v>
      </c>
      <c r="K435" s="23">
        <v>0</v>
      </c>
      <c r="M435"/>
      <c r="N435"/>
      <c r="O435"/>
      <c r="P435"/>
    </row>
    <row r="436" spans="9:16" x14ac:dyDescent="0.25">
      <c r="I436" s="9">
        <v>432</v>
      </c>
      <c r="J436" s="10">
        <v>7.5026138647830436</v>
      </c>
      <c r="K436" s="23">
        <v>0</v>
      </c>
      <c r="M436"/>
      <c r="N436"/>
      <c r="O436"/>
      <c r="P436"/>
    </row>
    <row r="437" spans="9:16" x14ac:dyDescent="0.25">
      <c r="I437" s="7">
        <v>433</v>
      </c>
      <c r="J437" s="8">
        <v>1.8424668766106436</v>
      </c>
      <c r="K437" s="23">
        <v>0</v>
      </c>
      <c r="M437"/>
      <c r="N437"/>
      <c r="O437"/>
      <c r="P437"/>
    </row>
    <row r="438" spans="9:16" x14ac:dyDescent="0.25">
      <c r="I438" s="9">
        <v>434</v>
      </c>
      <c r="J438" s="10">
        <v>36.089126198043047</v>
      </c>
      <c r="K438" s="23">
        <v>0</v>
      </c>
      <c r="M438"/>
      <c r="N438"/>
      <c r="O438"/>
      <c r="P438"/>
    </row>
    <row r="439" spans="9:16" x14ac:dyDescent="0.25">
      <c r="I439" s="7">
        <v>435</v>
      </c>
      <c r="J439" s="8">
        <v>3.3054149939087125</v>
      </c>
      <c r="K439" s="23">
        <v>0</v>
      </c>
      <c r="M439"/>
      <c r="N439"/>
      <c r="O439"/>
      <c r="P439"/>
    </row>
    <row r="440" spans="9:16" x14ac:dyDescent="0.25">
      <c r="I440" s="9">
        <v>436</v>
      </c>
      <c r="J440" s="10">
        <v>25.132558128898452</v>
      </c>
      <c r="K440" s="23">
        <v>0</v>
      </c>
      <c r="M440"/>
      <c r="N440"/>
      <c r="O440"/>
      <c r="P440"/>
    </row>
    <row r="441" spans="9:16" x14ac:dyDescent="0.25">
      <c r="I441" s="7">
        <v>437</v>
      </c>
      <c r="J441" s="8">
        <v>2.8551011510377293</v>
      </c>
      <c r="K441" s="23">
        <v>0</v>
      </c>
      <c r="M441"/>
      <c r="N441"/>
      <c r="O441"/>
      <c r="P441"/>
    </row>
    <row r="442" spans="9:16" x14ac:dyDescent="0.25">
      <c r="I442" s="9">
        <v>438</v>
      </c>
      <c r="J442" s="10">
        <v>24.650228779056079</v>
      </c>
      <c r="K442" s="23">
        <v>0</v>
      </c>
      <c r="M442"/>
      <c r="N442"/>
      <c r="O442"/>
      <c r="P442"/>
    </row>
    <row r="443" spans="9:16" x14ac:dyDescent="0.25">
      <c r="I443" s="7">
        <v>439</v>
      </c>
      <c r="J443" s="8">
        <v>21.879227315803888</v>
      </c>
      <c r="K443" s="23">
        <v>0</v>
      </c>
      <c r="M443"/>
      <c r="N443"/>
      <c r="O443"/>
      <c r="P443"/>
    </row>
    <row r="444" spans="9:16" x14ac:dyDescent="0.25">
      <c r="I444" s="9">
        <v>440</v>
      </c>
      <c r="J444" s="10">
        <v>15.856539086945872</v>
      </c>
      <c r="K444" s="23">
        <v>0</v>
      </c>
      <c r="M444"/>
      <c r="N444"/>
      <c r="O444"/>
      <c r="P444"/>
    </row>
    <row r="445" spans="9:16" x14ac:dyDescent="0.25">
      <c r="I445" s="7">
        <v>441</v>
      </c>
      <c r="J445" s="8">
        <v>13.268728979854643</v>
      </c>
      <c r="K445" s="23">
        <v>0</v>
      </c>
      <c r="M445"/>
      <c r="N445"/>
      <c r="O445"/>
      <c r="P445"/>
    </row>
    <row r="446" spans="9:16" x14ac:dyDescent="0.25">
      <c r="I446" s="9">
        <v>442</v>
      </c>
      <c r="J446" s="10">
        <v>29.415222490291654</v>
      </c>
      <c r="K446" s="23">
        <v>0</v>
      </c>
      <c r="M446"/>
      <c r="N446"/>
      <c r="O446"/>
      <c r="P446"/>
    </row>
    <row r="447" spans="9:16" x14ac:dyDescent="0.25">
      <c r="I447" s="7">
        <v>443</v>
      </c>
      <c r="J447" s="8">
        <v>19.383447644890737</v>
      </c>
      <c r="K447" s="23">
        <v>0</v>
      </c>
      <c r="M447"/>
      <c r="N447"/>
      <c r="O447"/>
      <c r="P447"/>
    </row>
    <row r="448" spans="9:16" x14ac:dyDescent="0.25">
      <c r="I448" s="9">
        <v>444</v>
      </c>
      <c r="J448" s="10">
        <v>23.521523990281764</v>
      </c>
      <c r="K448" s="23">
        <v>0</v>
      </c>
      <c r="M448"/>
      <c r="N448"/>
      <c r="O448"/>
      <c r="P448"/>
    </row>
    <row r="449" spans="9:16" x14ac:dyDescent="0.25">
      <c r="I449" s="7">
        <v>445</v>
      </c>
      <c r="J449" s="8">
        <v>8.5798481439842931</v>
      </c>
      <c r="K449" s="23">
        <v>0</v>
      </c>
      <c r="M449"/>
      <c r="N449"/>
      <c r="O449"/>
      <c r="P449"/>
    </row>
    <row r="450" spans="9:16" x14ac:dyDescent="0.25">
      <c r="I450" s="9">
        <v>446</v>
      </c>
      <c r="J450" s="10">
        <v>16.839823977376881</v>
      </c>
      <c r="K450" s="23">
        <v>0</v>
      </c>
      <c r="M450"/>
      <c r="N450"/>
      <c r="O450"/>
      <c r="P450"/>
    </row>
    <row r="451" spans="9:16" x14ac:dyDescent="0.25">
      <c r="I451" s="7">
        <v>447</v>
      </c>
      <c r="J451" s="8">
        <v>-16.776061089799185</v>
      </c>
      <c r="K451" s="23">
        <v>0</v>
      </c>
      <c r="M451"/>
      <c r="N451"/>
      <c r="O451"/>
      <c r="P451"/>
    </row>
    <row r="452" spans="9:16" x14ac:dyDescent="0.25">
      <c r="I452" s="9">
        <v>448</v>
      </c>
      <c r="J452" s="10">
        <v>24.797146469105925</v>
      </c>
      <c r="K452" s="23">
        <v>0</v>
      </c>
      <c r="M452"/>
      <c r="N452"/>
      <c r="O452"/>
      <c r="P452"/>
    </row>
    <row r="453" spans="9:16" x14ac:dyDescent="0.25">
      <c r="I453" s="7">
        <v>449</v>
      </c>
      <c r="J453" s="8">
        <v>-1.7451534217051972</v>
      </c>
      <c r="K453" s="23">
        <v>0</v>
      </c>
      <c r="M453"/>
      <c r="N453"/>
      <c r="O453"/>
      <c r="P453"/>
    </row>
    <row r="454" spans="9:16" x14ac:dyDescent="0.25">
      <c r="I454" s="9">
        <v>450</v>
      </c>
      <c r="J454" s="10">
        <v>37.766949153391352</v>
      </c>
      <c r="K454" s="23">
        <v>0</v>
      </c>
      <c r="M454"/>
      <c r="N454"/>
      <c r="O454"/>
      <c r="P454"/>
    </row>
    <row r="455" spans="9:16" x14ac:dyDescent="0.25">
      <c r="I455" s="7">
        <v>451</v>
      </c>
      <c r="J455" s="8">
        <v>-5.8803880233039081</v>
      </c>
      <c r="K455" s="23">
        <v>0</v>
      </c>
      <c r="M455"/>
      <c r="N455"/>
      <c r="O455"/>
      <c r="P455"/>
    </row>
    <row r="456" spans="9:16" x14ac:dyDescent="0.25">
      <c r="I456" s="9">
        <v>452</v>
      </c>
      <c r="J456" s="10">
        <v>17.965144908143898</v>
      </c>
      <c r="K456" s="23">
        <v>0</v>
      </c>
      <c r="M456"/>
      <c r="N456"/>
      <c r="O456"/>
      <c r="P456"/>
    </row>
    <row r="457" spans="9:16" x14ac:dyDescent="0.25">
      <c r="I457" s="7">
        <v>453</v>
      </c>
      <c r="J457" s="8">
        <v>12.509150204992778</v>
      </c>
      <c r="K457" s="23">
        <v>0</v>
      </c>
      <c r="M457"/>
      <c r="N457"/>
      <c r="O457"/>
      <c r="P457"/>
    </row>
    <row r="458" spans="9:16" x14ac:dyDescent="0.25">
      <c r="I458" s="9">
        <v>454</v>
      </c>
      <c r="J458" s="10">
        <v>-14.340737923095276</v>
      </c>
      <c r="K458" s="23">
        <v>0</v>
      </c>
      <c r="M458"/>
      <c r="N458"/>
      <c r="O458"/>
      <c r="P458"/>
    </row>
    <row r="459" spans="9:16" x14ac:dyDescent="0.25">
      <c r="I459" s="7">
        <v>455</v>
      </c>
      <c r="J459" s="8">
        <v>36.460483135850779</v>
      </c>
      <c r="K459" s="23">
        <v>0</v>
      </c>
      <c r="M459"/>
      <c r="N459"/>
      <c r="O459"/>
      <c r="P459"/>
    </row>
    <row r="460" spans="9:16" x14ac:dyDescent="0.25">
      <c r="I460" s="9">
        <v>456</v>
      </c>
      <c r="J460" s="10">
        <v>26.589769518337661</v>
      </c>
      <c r="K460" s="23">
        <v>0</v>
      </c>
      <c r="M460"/>
      <c r="N460"/>
      <c r="O460"/>
      <c r="P460"/>
    </row>
    <row r="461" spans="9:16" x14ac:dyDescent="0.25">
      <c r="I461" s="7">
        <v>457</v>
      </c>
      <c r="J461" s="8">
        <v>25.809070480514649</v>
      </c>
      <c r="K461" s="23">
        <v>0</v>
      </c>
      <c r="M461"/>
      <c r="N461"/>
      <c r="O461"/>
      <c r="P461"/>
    </row>
    <row r="462" spans="9:16" x14ac:dyDescent="0.25">
      <c r="I462" s="9">
        <v>458</v>
      </c>
      <c r="J462" s="10">
        <v>-0.6061312407475441</v>
      </c>
      <c r="K462" s="23">
        <v>0</v>
      </c>
      <c r="M462"/>
      <c r="N462"/>
      <c r="O462"/>
      <c r="P462"/>
    </row>
    <row r="463" spans="9:16" x14ac:dyDescent="0.25">
      <c r="I463" s="7">
        <v>459</v>
      </c>
      <c r="J463" s="8">
        <v>15.092268773835329</v>
      </c>
      <c r="K463" s="23">
        <v>0</v>
      </c>
      <c r="M463"/>
      <c r="N463"/>
      <c r="O463"/>
      <c r="P463"/>
    </row>
    <row r="464" spans="9:16" x14ac:dyDescent="0.25">
      <c r="I464" s="9">
        <v>460</v>
      </c>
      <c r="J464" s="10">
        <v>22.297627306094085</v>
      </c>
      <c r="K464" s="23">
        <v>0</v>
      </c>
      <c r="M464"/>
      <c r="N464"/>
      <c r="O464"/>
      <c r="P464"/>
    </row>
    <row r="465" spans="9:16" x14ac:dyDescent="0.25">
      <c r="I465" s="7">
        <v>461</v>
      </c>
      <c r="J465" s="8">
        <v>-1.4543951705191205</v>
      </c>
      <c r="K465" s="23">
        <v>0</v>
      </c>
      <c r="M465"/>
      <c r="N465"/>
      <c r="O465"/>
      <c r="P465"/>
    </row>
    <row r="466" spans="9:16" x14ac:dyDescent="0.25">
      <c r="I466" s="9">
        <v>462</v>
      </c>
      <c r="J466" s="10">
        <v>-12.084768451143503</v>
      </c>
      <c r="K466" s="23">
        <v>0</v>
      </c>
      <c r="M466"/>
      <c r="N466"/>
      <c r="O466"/>
      <c r="P466"/>
    </row>
    <row r="467" spans="9:16" x14ac:dyDescent="0.25">
      <c r="I467" s="7">
        <v>463</v>
      </c>
      <c r="J467" s="8">
        <v>-0.97345417109562504</v>
      </c>
      <c r="K467" s="23">
        <v>0</v>
      </c>
      <c r="M467"/>
      <c r="N467"/>
      <c r="O467"/>
      <c r="P467"/>
    </row>
    <row r="468" spans="9:16" x14ac:dyDescent="0.25">
      <c r="I468" s="9">
        <v>464</v>
      </c>
      <c r="J468" s="10">
        <v>39.319183405314845</v>
      </c>
      <c r="K468" s="23">
        <v>0</v>
      </c>
      <c r="M468"/>
      <c r="N468"/>
      <c r="O468"/>
      <c r="P468"/>
    </row>
    <row r="469" spans="9:16" x14ac:dyDescent="0.25">
      <c r="I469" s="7">
        <v>465</v>
      </c>
      <c r="J469" s="8">
        <v>8.5554901947991056</v>
      </c>
      <c r="K469" s="23">
        <v>0</v>
      </c>
      <c r="M469"/>
      <c r="N469"/>
      <c r="O469"/>
      <c r="P469"/>
    </row>
    <row r="470" spans="9:16" x14ac:dyDescent="0.25">
      <c r="I470" s="9">
        <v>466</v>
      </c>
      <c r="J470" s="10">
        <v>19.46117646796975</v>
      </c>
      <c r="K470" s="23">
        <v>0</v>
      </c>
      <c r="M470"/>
      <c r="N470"/>
      <c r="O470"/>
      <c r="P470"/>
    </row>
    <row r="471" spans="9:16" x14ac:dyDescent="0.25">
      <c r="I471" s="7">
        <v>467</v>
      </c>
      <c r="J471" s="8">
        <v>6.8921988118300135</v>
      </c>
      <c r="K471" s="23">
        <v>0</v>
      </c>
      <c r="M471"/>
      <c r="N471"/>
      <c r="O471"/>
      <c r="P471"/>
    </row>
    <row r="472" spans="9:16" x14ac:dyDescent="0.25">
      <c r="I472" s="9">
        <v>468</v>
      </c>
      <c r="J472" s="10">
        <v>16.295422015823448</v>
      </c>
      <c r="K472" s="23">
        <v>0</v>
      </c>
      <c r="M472"/>
      <c r="N472"/>
      <c r="O472"/>
      <c r="P472"/>
    </row>
    <row r="473" spans="9:16" x14ac:dyDescent="0.25">
      <c r="I473" s="7">
        <v>469</v>
      </c>
      <c r="J473" s="8">
        <v>14.713238907067691</v>
      </c>
      <c r="K473" s="23">
        <v>0</v>
      </c>
      <c r="M473"/>
      <c r="N473"/>
      <c r="O473"/>
      <c r="P473"/>
    </row>
    <row r="474" spans="9:16" x14ac:dyDescent="0.25">
      <c r="I474" s="9">
        <v>470</v>
      </c>
      <c r="J474" s="10">
        <v>20.854082735659091</v>
      </c>
      <c r="K474" s="23">
        <v>0</v>
      </c>
      <c r="M474"/>
      <c r="N474"/>
      <c r="O474"/>
      <c r="P474"/>
    </row>
    <row r="475" spans="9:16" x14ac:dyDescent="0.25">
      <c r="I475" s="7">
        <v>471</v>
      </c>
      <c r="J475" s="8">
        <v>9.3532562385050824</v>
      </c>
      <c r="K475" s="23">
        <v>0</v>
      </c>
      <c r="M475"/>
      <c r="N475"/>
      <c r="O475"/>
      <c r="P475"/>
    </row>
    <row r="476" spans="9:16" x14ac:dyDescent="0.25">
      <c r="I476" s="9">
        <v>472</v>
      </c>
      <c r="J476" s="10">
        <v>-0.4138469409816139</v>
      </c>
      <c r="K476" s="23">
        <v>0</v>
      </c>
      <c r="M476"/>
      <c r="N476"/>
      <c r="O476"/>
      <c r="P476"/>
    </row>
    <row r="477" spans="9:16" x14ac:dyDescent="0.25">
      <c r="I477" s="7">
        <v>473</v>
      </c>
      <c r="J477" s="8">
        <v>2.7380612658738528</v>
      </c>
      <c r="K477" s="23">
        <v>0</v>
      </c>
      <c r="M477"/>
      <c r="N477"/>
      <c r="O477"/>
      <c r="P477"/>
    </row>
    <row r="478" spans="9:16" x14ac:dyDescent="0.25">
      <c r="I478" s="9">
        <v>474</v>
      </c>
      <c r="J478" s="10">
        <v>-1.1729744892151075</v>
      </c>
      <c r="K478" s="23">
        <v>0</v>
      </c>
      <c r="M478"/>
      <c r="N478"/>
      <c r="O478"/>
      <c r="P478"/>
    </row>
    <row r="479" spans="9:16" x14ac:dyDescent="0.25">
      <c r="I479" s="7">
        <v>475</v>
      </c>
      <c r="J479" s="8">
        <v>10.816294070651651</v>
      </c>
      <c r="K479" s="23">
        <v>0</v>
      </c>
      <c r="M479"/>
      <c r="N479"/>
      <c r="O479"/>
      <c r="P479"/>
    </row>
    <row r="480" spans="9:16" x14ac:dyDescent="0.25">
      <c r="I480" s="9">
        <v>476</v>
      </c>
      <c r="J480" s="10">
        <v>14.040994767943658</v>
      </c>
      <c r="K480" s="23">
        <v>0</v>
      </c>
      <c r="M480"/>
      <c r="N480"/>
      <c r="O480"/>
      <c r="P480"/>
    </row>
    <row r="481" spans="9:16" x14ac:dyDescent="0.25">
      <c r="I481" s="7">
        <v>477</v>
      </c>
      <c r="J481" s="8">
        <v>20.912103924263164</v>
      </c>
      <c r="K481" s="23">
        <v>0</v>
      </c>
      <c r="M481"/>
      <c r="N481"/>
      <c r="O481"/>
      <c r="P481"/>
    </row>
    <row r="482" spans="9:16" x14ac:dyDescent="0.25">
      <c r="I482" s="9">
        <v>478</v>
      </c>
      <c r="J482" s="10">
        <v>43.257340465649676</v>
      </c>
      <c r="K482" s="23">
        <v>0</v>
      </c>
      <c r="M482"/>
      <c r="N482"/>
      <c r="O482"/>
      <c r="P482"/>
    </row>
    <row r="483" spans="9:16" x14ac:dyDescent="0.25">
      <c r="I483" s="7">
        <v>479</v>
      </c>
      <c r="J483" s="8">
        <v>26.777655292065063</v>
      </c>
      <c r="K483" s="23">
        <v>0</v>
      </c>
      <c r="M483"/>
      <c r="N483"/>
      <c r="O483"/>
      <c r="P483"/>
    </row>
    <row r="484" spans="9:16" x14ac:dyDescent="0.25">
      <c r="I484" s="9">
        <v>480</v>
      </c>
      <c r="J484" s="10">
        <v>27.097363401950986</v>
      </c>
      <c r="K484" s="23">
        <v>0</v>
      </c>
      <c r="M484"/>
      <c r="N484"/>
      <c r="O484"/>
      <c r="P484"/>
    </row>
    <row r="485" spans="9:16" x14ac:dyDescent="0.25">
      <c r="I485" s="7">
        <v>481</v>
      </c>
      <c r="J485" s="8">
        <v>3.0359296277492547</v>
      </c>
      <c r="K485" s="23">
        <v>0</v>
      </c>
      <c r="M485"/>
      <c r="N485"/>
      <c r="O485"/>
      <c r="P485"/>
    </row>
    <row r="486" spans="9:16" x14ac:dyDescent="0.25">
      <c r="I486" s="9">
        <v>482</v>
      </c>
      <c r="J486" s="10">
        <v>23.18881977523165</v>
      </c>
      <c r="K486" s="23">
        <v>0</v>
      </c>
      <c r="M486"/>
      <c r="N486"/>
      <c r="O486"/>
      <c r="P486"/>
    </row>
    <row r="487" spans="9:16" x14ac:dyDescent="0.25">
      <c r="I487" s="7">
        <v>483</v>
      </c>
      <c r="J487" s="8">
        <v>1.6474024481553187</v>
      </c>
      <c r="K487" s="23">
        <v>0</v>
      </c>
      <c r="M487"/>
      <c r="N487"/>
      <c r="O487"/>
      <c r="P487"/>
    </row>
    <row r="488" spans="9:16" x14ac:dyDescent="0.25">
      <c r="I488" s="9">
        <v>484</v>
      </c>
      <c r="J488" s="10">
        <v>14.156440537450038</v>
      </c>
      <c r="K488" s="23">
        <v>0</v>
      </c>
      <c r="M488"/>
      <c r="N488"/>
      <c r="O488"/>
      <c r="P488"/>
    </row>
    <row r="489" spans="9:16" x14ac:dyDescent="0.25">
      <c r="I489" s="7">
        <v>485</v>
      </c>
      <c r="J489" s="8">
        <v>-13.726046596039481</v>
      </c>
      <c r="K489" s="23">
        <v>0</v>
      </c>
      <c r="M489"/>
      <c r="N489"/>
      <c r="O489"/>
      <c r="P489"/>
    </row>
    <row r="490" spans="9:16" x14ac:dyDescent="0.25">
      <c r="I490" s="9">
        <v>486</v>
      </c>
      <c r="J490" s="10">
        <v>33.770619149849182</v>
      </c>
      <c r="K490" s="23">
        <v>0</v>
      </c>
      <c r="M490"/>
      <c r="N490"/>
      <c r="O490"/>
      <c r="P490"/>
    </row>
    <row r="491" spans="9:16" x14ac:dyDescent="0.25">
      <c r="I491" s="7">
        <v>487</v>
      </c>
      <c r="J491" s="8">
        <v>3.7833679400660571</v>
      </c>
      <c r="K491" s="23">
        <v>0</v>
      </c>
      <c r="M491"/>
      <c r="N491"/>
      <c r="O491"/>
      <c r="P491"/>
    </row>
    <row r="492" spans="9:16" x14ac:dyDescent="0.25">
      <c r="I492" s="9">
        <v>488</v>
      </c>
      <c r="J492" s="10">
        <v>22.680016363860858</v>
      </c>
      <c r="K492" s="23">
        <v>0</v>
      </c>
      <c r="M492"/>
      <c r="N492"/>
      <c r="O492"/>
      <c r="P492"/>
    </row>
    <row r="493" spans="9:16" x14ac:dyDescent="0.25">
      <c r="I493" s="7">
        <v>489</v>
      </c>
      <c r="J493" s="8">
        <v>17.009754094693108</v>
      </c>
      <c r="K493" s="23">
        <v>0</v>
      </c>
      <c r="M493"/>
      <c r="N493"/>
      <c r="O493"/>
      <c r="P493"/>
    </row>
    <row r="494" spans="9:16" x14ac:dyDescent="0.25">
      <c r="I494" s="9">
        <v>490</v>
      </c>
      <c r="J494" s="10">
        <v>-7.0931037106732049</v>
      </c>
      <c r="K494" s="23">
        <v>0</v>
      </c>
      <c r="M494"/>
      <c r="N494"/>
      <c r="O494"/>
      <c r="P494"/>
    </row>
    <row r="495" spans="9:16" x14ac:dyDescent="0.25">
      <c r="I495" s="7">
        <v>491</v>
      </c>
      <c r="J495" s="8">
        <v>3.3247272662232774</v>
      </c>
      <c r="K495" s="23">
        <v>0</v>
      </c>
      <c r="M495"/>
      <c r="N495"/>
      <c r="O495"/>
      <c r="P495"/>
    </row>
    <row r="496" spans="9:16" x14ac:dyDescent="0.25">
      <c r="I496" s="9">
        <v>492</v>
      </c>
      <c r="J496" s="10">
        <v>13.144049886799849</v>
      </c>
      <c r="K496" s="23">
        <v>0</v>
      </c>
      <c r="M496"/>
      <c r="N496"/>
      <c r="O496"/>
      <c r="P496"/>
    </row>
    <row r="497" spans="9:16" x14ac:dyDescent="0.25">
      <c r="I497" s="7">
        <v>493</v>
      </c>
      <c r="J497" s="8">
        <v>-4.7561328503782363</v>
      </c>
      <c r="K497" s="23">
        <v>0</v>
      </c>
      <c r="M497"/>
      <c r="N497"/>
      <c r="O497"/>
      <c r="P497"/>
    </row>
    <row r="498" spans="9:16" x14ac:dyDescent="0.25">
      <c r="I498" s="9">
        <v>494</v>
      </c>
      <c r="J498" s="10">
        <v>13.560584830265114</v>
      </c>
      <c r="K498" s="23">
        <v>0</v>
      </c>
      <c r="M498"/>
      <c r="N498"/>
      <c r="O498"/>
      <c r="P498"/>
    </row>
    <row r="499" spans="9:16" x14ac:dyDescent="0.25">
      <c r="I499" s="7">
        <v>495</v>
      </c>
      <c r="J499" s="8">
        <v>10.631091128915727</v>
      </c>
      <c r="K499" s="23">
        <v>0</v>
      </c>
      <c r="M499"/>
      <c r="N499"/>
      <c r="O499"/>
      <c r="P499"/>
    </row>
    <row r="500" spans="9:16" x14ac:dyDescent="0.25">
      <c r="I500" s="9">
        <v>496</v>
      </c>
      <c r="J500" s="10">
        <v>-13.089413016531012</v>
      </c>
      <c r="K500" s="23">
        <v>0</v>
      </c>
      <c r="M500"/>
      <c r="N500"/>
      <c r="O500"/>
      <c r="P500"/>
    </row>
    <row r="501" spans="9:16" x14ac:dyDescent="0.25">
      <c r="I501" s="7">
        <v>497</v>
      </c>
      <c r="J501" s="8">
        <v>17.427106942022846</v>
      </c>
      <c r="K501" s="23">
        <v>0</v>
      </c>
      <c r="M501"/>
      <c r="N501"/>
      <c r="O501"/>
      <c r="P501"/>
    </row>
    <row r="502" spans="9:16" x14ac:dyDescent="0.25">
      <c r="I502" s="9">
        <v>498</v>
      </c>
      <c r="J502" s="10">
        <v>4.2433325819533394</v>
      </c>
      <c r="K502" s="23">
        <v>0</v>
      </c>
      <c r="M502"/>
      <c r="N502"/>
      <c r="O502"/>
      <c r="P502"/>
    </row>
    <row r="503" spans="9:16" x14ac:dyDescent="0.25">
      <c r="I503" s="7">
        <v>499</v>
      </c>
      <c r="J503" s="8">
        <v>27.508153004044715</v>
      </c>
      <c r="K503" s="23">
        <v>0</v>
      </c>
      <c r="M503"/>
      <c r="N503"/>
      <c r="O503"/>
      <c r="P503"/>
    </row>
    <row r="504" spans="9:16" x14ac:dyDescent="0.25">
      <c r="I504" s="9">
        <v>500</v>
      </c>
      <c r="J504" s="10">
        <v>9.7704323599374732</v>
      </c>
      <c r="K504" s="23">
        <v>0</v>
      </c>
      <c r="M504"/>
      <c r="N504"/>
      <c r="O504"/>
      <c r="P504"/>
    </row>
    <row r="505" spans="9:16" x14ac:dyDescent="0.25">
      <c r="I505" s="7">
        <v>501</v>
      </c>
      <c r="J505" s="8">
        <v>15.884473757762336</v>
      </c>
      <c r="K505" s="23">
        <v>0</v>
      </c>
      <c r="M505"/>
      <c r="N505"/>
      <c r="O505"/>
      <c r="P505"/>
    </row>
    <row r="506" spans="9:16" x14ac:dyDescent="0.25">
      <c r="I506" s="9">
        <v>502</v>
      </c>
      <c r="J506" s="10">
        <v>25.580307245486679</v>
      </c>
      <c r="K506" s="23">
        <v>0</v>
      </c>
      <c r="M506"/>
      <c r="N506"/>
      <c r="O506"/>
      <c r="P506"/>
    </row>
    <row r="507" spans="9:16" x14ac:dyDescent="0.25">
      <c r="I507" s="7">
        <v>503</v>
      </c>
      <c r="J507" s="8">
        <v>20.468198394794115</v>
      </c>
      <c r="K507" s="23">
        <v>0</v>
      </c>
      <c r="M507"/>
      <c r="N507"/>
      <c r="O507"/>
      <c r="P507"/>
    </row>
    <row r="508" spans="9:16" x14ac:dyDescent="0.25">
      <c r="I508" s="9">
        <v>504</v>
      </c>
      <c r="J508" s="10">
        <v>31.724903679486118</v>
      </c>
      <c r="K508" s="23">
        <v>0</v>
      </c>
      <c r="M508"/>
      <c r="N508"/>
      <c r="O508"/>
      <c r="P508"/>
    </row>
    <row r="509" spans="9:16" x14ac:dyDescent="0.25">
      <c r="I509" s="7">
        <v>505</v>
      </c>
      <c r="J509" s="8">
        <v>9.8621804406169247</v>
      </c>
      <c r="K509" s="23">
        <v>0</v>
      </c>
      <c r="M509"/>
      <c r="N509"/>
      <c r="O509"/>
      <c r="P509"/>
    </row>
    <row r="510" spans="9:16" x14ac:dyDescent="0.25">
      <c r="I510" s="9">
        <v>506</v>
      </c>
      <c r="J510" s="10">
        <v>-5.3825469047059187</v>
      </c>
      <c r="K510" s="23">
        <v>0</v>
      </c>
      <c r="M510"/>
      <c r="N510"/>
      <c r="O510"/>
      <c r="P510"/>
    </row>
    <row r="511" spans="9:16" x14ac:dyDescent="0.25">
      <c r="I511" s="7">
        <v>507</v>
      </c>
      <c r="J511" s="8">
        <v>27.054192008294876</v>
      </c>
      <c r="K511" s="23">
        <v>0</v>
      </c>
      <c r="M511"/>
      <c r="N511"/>
      <c r="O511"/>
      <c r="P511"/>
    </row>
    <row r="512" spans="9:16" x14ac:dyDescent="0.25">
      <c r="I512" s="9">
        <v>508</v>
      </c>
      <c r="J512" s="10">
        <v>-16.394566477070725</v>
      </c>
      <c r="K512" s="23">
        <v>0</v>
      </c>
      <c r="M512"/>
      <c r="N512"/>
      <c r="O512"/>
      <c r="P512"/>
    </row>
    <row r="513" spans="9:16" x14ac:dyDescent="0.25">
      <c r="I513" s="7">
        <v>509</v>
      </c>
      <c r="J513" s="8">
        <v>-21.293833840597003</v>
      </c>
      <c r="K513" s="23">
        <v>0</v>
      </c>
      <c r="M513"/>
      <c r="N513"/>
      <c r="O513"/>
      <c r="P513"/>
    </row>
    <row r="514" spans="9:16" x14ac:dyDescent="0.25">
      <c r="I514" s="9">
        <v>510</v>
      </c>
      <c r="J514" s="10">
        <v>1.0787131004833554</v>
      </c>
      <c r="K514" s="23">
        <v>0</v>
      </c>
      <c r="M514"/>
      <c r="N514"/>
      <c r="O514"/>
      <c r="P514"/>
    </row>
    <row r="515" spans="9:16" x14ac:dyDescent="0.25">
      <c r="I515" s="7">
        <v>511</v>
      </c>
      <c r="J515" s="8">
        <v>55.452773962254469</v>
      </c>
      <c r="K515" s="23">
        <v>0</v>
      </c>
      <c r="M515"/>
      <c r="N515"/>
      <c r="O515"/>
      <c r="P515"/>
    </row>
    <row r="516" spans="9:16" x14ac:dyDescent="0.25">
      <c r="I516" s="9">
        <v>512</v>
      </c>
      <c r="J516" s="10">
        <v>9.0299001818291345</v>
      </c>
      <c r="K516" s="23">
        <v>0</v>
      </c>
      <c r="M516"/>
      <c r="N516"/>
      <c r="O516"/>
      <c r="P516"/>
    </row>
    <row r="517" spans="9:16" x14ac:dyDescent="0.25">
      <c r="I517" s="7">
        <v>513</v>
      </c>
      <c r="J517" s="8">
        <v>32.570607787455202</v>
      </c>
      <c r="K517" s="23">
        <v>0</v>
      </c>
      <c r="M517"/>
      <c r="N517"/>
      <c r="O517"/>
      <c r="P517"/>
    </row>
    <row r="518" spans="9:16" x14ac:dyDescent="0.25">
      <c r="I518" s="9">
        <v>514</v>
      </c>
      <c r="J518" s="10">
        <v>18.441558772593652</v>
      </c>
      <c r="K518" s="23">
        <v>0</v>
      </c>
      <c r="M518"/>
      <c r="N518"/>
      <c r="O518"/>
      <c r="P518"/>
    </row>
    <row r="519" spans="9:16" x14ac:dyDescent="0.25">
      <c r="I519" s="7">
        <v>515</v>
      </c>
      <c r="J519" s="8">
        <v>29.201497924017076</v>
      </c>
      <c r="K519" s="23">
        <v>0</v>
      </c>
      <c r="M519"/>
      <c r="N519"/>
      <c r="O519"/>
      <c r="P519"/>
    </row>
    <row r="520" spans="9:16" x14ac:dyDescent="0.25">
      <c r="I520" s="9">
        <v>516</v>
      </c>
      <c r="J520" s="10">
        <v>-5.6080657050133311</v>
      </c>
      <c r="K520" s="23">
        <v>0</v>
      </c>
      <c r="M520"/>
      <c r="N520"/>
      <c r="O520"/>
      <c r="P520"/>
    </row>
    <row r="521" spans="9:16" x14ac:dyDescent="0.25">
      <c r="I521" s="7">
        <v>517</v>
      </c>
      <c r="J521" s="8">
        <v>0.30129628661080687</v>
      </c>
      <c r="K521" s="23">
        <v>0</v>
      </c>
      <c r="M521"/>
      <c r="N521"/>
      <c r="O521"/>
      <c r="P521"/>
    </row>
    <row r="522" spans="9:16" x14ac:dyDescent="0.25">
      <c r="I522" s="9">
        <v>518</v>
      </c>
      <c r="J522" s="10">
        <v>17.000755454766846</v>
      </c>
      <c r="K522" s="23">
        <v>0</v>
      </c>
      <c r="M522"/>
      <c r="N522"/>
      <c r="O522"/>
      <c r="P522"/>
    </row>
    <row r="523" spans="9:16" x14ac:dyDescent="0.25">
      <c r="I523" s="7">
        <v>519</v>
      </c>
      <c r="J523" s="8">
        <v>-12.706594881803468</v>
      </c>
      <c r="K523" s="23">
        <v>0</v>
      </c>
      <c r="M523"/>
      <c r="N523"/>
      <c r="O523"/>
      <c r="P523"/>
    </row>
    <row r="524" spans="9:16" x14ac:dyDescent="0.25">
      <c r="I524" s="9">
        <v>520</v>
      </c>
      <c r="J524" s="10">
        <v>-21.324027598505523</v>
      </c>
      <c r="K524" s="23">
        <v>0</v>
      </c>
      <c r="M524"/>
      <c r="N524"/>
      <c r="O524"/>
      <c r="P524"/>
    </row>
    <row r="525" spans="9:16" x14ac:dyDescent="0.25">
      <c r="I525" s="7">
        <v>521</v>
      </c>
      <c r="J525" s="8">
        <v>24.410779229563929</v>
      </c>
      <c r="K525" s="23">
        <v>0</v>
      </c>
      <c r="M525"/>
      <c r="N525"/>
      <c r="O525"/>
      <c r="P525"/>
    </row>
    <row r="526" spans="9:16" x14ac:dyDescent="0.25">
      <c r="I526" s="9">
        <v>522</v>
      </c>
      <c r="J526" s="10">
        <v>4.5796466372335658</v>
      </c>
      <c r="K526" s="23">
        <v>0</v>
      </c>
      <c r="M526"/>
      <c r="N526"/>
      <c r="O526"/>
      <c r="P526"/>
    </row>
    <row r="527" spans="9:16" x14ac:dyDescent="0.25">
      <c r="I527" s="7">
        <v>523</v>
      </c>
      <c r="J527" s="8">
        <v>14.978089892554962</v>
      </c>
      <c r="K527" s="23">
        <v>0</v>
      </c>
      <c r="M527"/>
      <c r="N527"/>
      <c r="O527"/>
      <c r="P527"/>
    </row>
    <row r="528" spans="9:16" x14ac:dyDescent="0.25">
      <c r="I528" s="9">
        <v>524</v>
      </c>
      <c r="J528" s="10">
        <v>9.869818490345807</v>
      </c>
      <c r="K528" s="23">
        <v>0</v>
      </c>
      <c r="M528"/>
      <c r="N528"/>
      <c r="O528"/>
      <c r="P528"/>
    </row>
    <row r="529" spans="9:16" x14ac:dyDescent="0.25">
      <c r="I529" s="7">
        <v>525</v>
      </c>
      <c r="J529" s="8">
        <v>-1.1953633773204615</v>
      </c>
      <c r="K529" s="23">
        <v>0</v>
      </c>
      <c r="M529"/>
      <c r="N529"/>
      <c r="O529"/>
      <c r="P529"/>
    </row>
    <row r="530" spans="9:16" x14ac:dyDescent="0.25">
      <c r="I530" s="9">
        <v>526</v>
      </c>
      <c r="J530" s="10">
        <v>-2.5829521462996468</v>
      </c>
      <c r="K530" s="23">
        <v>0</v>
      </c>
      <c r="M530"/>
      <c r="N530"/>
      <c r="O530"/>
      <c r="P530"/>
    </row>
    <row r="531" spans="9:16" x14ac:dyDescent="0.25">
      <c r="I531" s="7">
        <v>527</v>
      </c>
      <c r="J531" s="8">
        <v>18.230990640632598</v>
      </c>
      <c r="K531" s="23">
        <v>0</v>
      </c>
      <c r="M531"/>
      <c r="N531"/>
      <c r="O531"/>
      <c r="P531"/>
    </row>
    <row r="532" spans="9:16" x14ac:dyDescent="0.25">
      <c r="I532" s="9">
        <v>528</v>
      </c>
      <c r="J532" s="10">
        <v>5.7488885093829083</v>
      </c>
      <c r="K532" s="23">
        <v>0</v>
      </c>
      <c r="M532"/>
      <c r="N532"/>
      <c r="O532"/>
      <c r="P532"/>
    </row>
    <row r="533" spans="9:16" x14ac:dyDescent="0.25">
      <c r="I533" s="7">
        <v>529</v>
      </c>
      <c r="J533" s="8">
        <v>29.420192120974804</v>
      </c>
      <c r="K533" s="23">
        <v>0</v>
      </c>
      <c r="M533"/>
      <c r="N533"/>
      <c r="O533"/>
      <c r="P533"/>
    </row>
    <row r="534" spans="9:16" x14ac:dyDescent="0.25">
      <c r="I534" s="9">
        <v>530</v>
      </c>
      <c r="J534" s="10">
        <v>21.286438167392248</v>
      </c>
      <c r="K534" s="23">
        <v>0</v>
      </c>
      <c r="M534"/>
      <c r="N534"/>
      <c r="O534"/>
      <c r="P534"/>
    </row>
    <row r="535" spans="9:16" x14ac:dyDescent="0.25">
      <c r="I535" s="7">
        <v>531</v>
      </c>
      <c r="J535" s="8">
        <v>8.4171094242954467</v>
      </c>
      <c r="K535" s="23">
        <v>0</v>
      </c>
      <c r="M535"/>
      <c r="N535"/>
      <c r="O535"/>
      <c r="P535"/>
    </row>
    <row r="536" spans="9:16" x14ac:dyDescent="0.25">
      <c r="I536" s="9">
        <v>532</v>
      </c>
      <c r="J536" s="10">
        <v>0.20371583391764148</v>
      </c>
      <c r="K536" s="23">
        <v>0</v>
      </c>
      <c r="M536"/>
      <c r="N536"/>
      <c r="O536"/>
      <c r="P536"/>
    </row>
    <row r="537" spans="9:16" x14ac:dyDescent="0.25">
      <c r="I537" s="7">
        <v>533</v>
      </c>
      <c r="J537" s="8">
        <v>-0.32220762718586116</v>
      </c>
      <c r="K537" s="23">
        <v>0</v>
      </c>
      <c r="M537"/>
      <c r="N537"/>
      <c r="O537"/>
      <c r="P537"/>
    </row>
    <row r="538" spans="9:16" x14ac:dyDescent="0.25">
      <c r="I538" s="9">
        <v>534</v>
      </c>
      <c r="J538" s="10">
        <v>22.427801121937279</v>
      </c>
      <c r="K538" s="23">
        <v>0</v>
      </c>
      <c r="M538"/>
      <c r="N538"/>
      <c r="O538"/>
      <c r="P538"/>
    </row>
    <row r="539" spans="9:16" x14ac:dyDescent="0.25">
      <c r="I539" s="7">
        <v>535</v>
      </c>
      <c r="J539" s="8">
        <v>-23.530653419472202</v>
      </c>
      <c r="K539" s="23">
        <v>0</v>
      </c>
      <c r="M539"/>
      <c r="N539"/>
      <c r="O539"/>
      <c r="P539"/>
    </row>
    <row r="540" spans="9:16" x14ac:dyDescent="0.25">
      <c r="I540" s="9">
        <v>536</v>
      </c>
      <c r="J540" s="10">
        <v>17.355300516751882</v>
      </c>
      <c r="K540" s="23">
        <v>0</v>
      </c>
      <c r="M540"/>
      <c r="N540"/>
      <c r="O540"/>
      <c r="P540"/>
    </row>
    <row r="541" spans="9:16" x14ac:dyDescent="0.25">
      <c r="I541" s="7">
        <v>537</v>
      </c>
      <c r="J541" s="8">
        <v>9.1412541656442414</v>
      </c>
      <c r="K541" s="23">
        <v>0</v>
      </c>
      <c r="M541"/>
      <c r="N541"/>
      <c r="O541"/>
      <c r="P541"/>
    </row>
    <row r="542" spans="9:16" x14ac:dyDescent="0.25">
      <c r="I542" s="9">
        <v>538</v>
      </c>
      <c r="J542" s="10">
        <v>-2.0039842667840446</v>
      </c>
      <c r="K542" s="23">
        <v>0</v>
      </c>
      <c r="M542"/>
      <c r="N542"/>
      <c r="O542"/>
      <c r="P542"/>
    </row>
    <row r="543" spans="9:16" x14ac:dyDescent="0.25">
      <c r="I543" s="7">
        <v>539</v>
      </c>
      <c r="J543" s="8">
        <v>6.1423675328763778</v>
      </c>
      <c r="K543" s="23">
        <v>0</v>
      </c>
      <c r="M543"/>
      <c r="N543"/>
      <c r="O543"/>
      <c r="P543"/>
    </row>
    <row r="544" spans="9:16" x14ac:dyDescent="0.25">
      <c r="I544" s="9">
        <v>540</v>
      </c>
      <c r="J544" s="10">
        <v>-8.8248516403563428</v>
      </c>
      <c r="K544" s="23">
        <v>0</v>
      </c>
      <c r="M544"/>
      <c r="N544"/>
      <c r="O544"/>
      <c r="P544"/>
    </row>
    <row r="545" spans="9:16" x14ac:dyDescent="0.25">
      <c r="I545" s="7">
        <v>541</v>
      </c>
      <c r="J545" s="8">
        <v>2.2026825779363151</v>
      </c>
      <c r="K545" s="23">
        <v>0</v>
      </c>
      <c r="M545"/>
      <c r="N545"/>
      <c r="O545"/>
      <c r="P545"/>
    </row>
    <row r="546" spans="9:16" x14ac:dyDescent="0.25">
      <c r="I546" s="9">
        <v>542</v>
      </c>
      <c r="J546" s="10">
        <v>6.1466982404594717</v>
      </c>
      <c r="K546" s="23">
        <v>0</v>
      </c>
      <c r="M546"/>
      <c r="N546"/>
      <c r="O546"/>
      <c r="P546"/>
    </row>
    <row r="547" spans="9:16" x14ac:dyDescent="0.25">
      <c r="I547" s="7">
        <v>543</v>
      </c>
      <c r="J547" s="8">
        <v>32.86221329704145</v>
      </c>
      <c r="K547" s="23">
        <v>0</v>
      </c>
      <c r="M547"/>
      <c r="N547"/>
      <c r="O547"/>
      <c r="P547"/>
    </row>
    <row r="548" spans="9:16" x14ac:dyDescent="0.25">
      <c r="I548" s="9">
        <v>544</v>
      </c>
      <c r="J548" s="10">
        <v>11.203667854915608</v>
      </c>
      <c r="K548" s="23">
        <v>0</v>
      </c>
      <c r="M548"/>
      <c r="N548"/>
      <c r="O548"/>
      <c r="P548"/>
    </row>
    <row r="549" spans="9:16" x14ac:dyDescent="0.25">
      <c r="I549" s="7">
        <v>545</v>
      </c>
      <c r="J549" s="8">
        <v>2.1168379907325345</v>
      </c>
      <c r="K549" s="23">
        <v>0</v>
      </c>
      <c r="M549"/>
      <c r="N549"/>
      <c r="O549"/>
      <c r="P549"/>
    </row>
    <row r="550" spans="9:16" x14ac:dyDescent="0.25">
      <c r="I550" s="9">
        <v>546</v>
      </c>
      <c r="J550" s="10">
        <v>37.276910542018925</v>
      </c>
      <c r="K550" s="23">
        <v>0</v>
      </c>
      <c r="M550"/>
      <c r="N550"/>
      <c r="O550"/>
      <c r="P550"/>
    </row>
    <row r="551" spans="9:16" x14ac:dyDescent="0.25">
      <c r="I551" s="7">
        <v>547</v>
      </c>
      <c r="J551" s="8">
        <v>-3.2449081145112189</v>
      </c>
      <c r="K551" s="23">
        <v>0</v>
      </c>
      <c r="M551"/>
      <c r="N551"/>
      <c r="O551"/>
      <c r="P551"/>
    </row>
    <row r="552" spans="9:16" x14ac:dyDescent="0.25">
      <c r="I552" s="9">
        <v>548</v>
      </c>
      <c r="J552" s="10">
        <v>12.247877972970628</v>
      </c>
      <c r="K552" s="23">
        <v>0</v>
      </c>
      <c r="M552"/>
      <c r="N552"/>
      <c r="O552"/>
      <c r="P552"/>
    </row>
    <row r="553" spans="9:16" x14ac:dyDescent="0.25">
      <c r="I553" s="7">
        <v>549</v>
      </c>
      <c r="J553" s="8">
        <v>1.8631648730157337</v>
      </c>
      <c r="K553" s="23">
        <v>0</v>
      </c>
      <c r="M553"/>
      <c r="N553"/>
      <c r="O553"/>
      <c r="P553"/>
    </row>
    <row r="554" spans="9:16" x14ac:dyDescent="0.25">
      <c r="I554" s="9">
        <v>550</v>
      </c>
      <c r="J554" s="10">
        <v>11.682216890088569</v>
      </c>
      <c r="K554" s="23">
        <v>0</v>
      </c>
      <c r="M554"/>
      <c r="N554"/>
      <c r="O554"/>
      <c r="P554"/>
    </row>
    <row r="555" spans="9:16" x14ac:dyDescent="0.25">
      <c r="I555" s="7">
        <v>551</v>
      </c>
      <c r="J555" s="8">
        <v>9.1582039533928992</v>
      </c>
      <c r="K555" s="23">
        <v>0</v>
      </c>
      <c r="M555"/>
      <c r="N555"/>
      <c r="O555"/>
      <c r="P555"/>
    </row>
    <row r="556" spans="9:16" x14ac:dyDescent="0.25">
      <c r="I556" s="9">
        <v>552</v>
      </c>
      <c r="J556" s="10">
        <v>-4.7033566161910443</v>
      </c>
      <c r="K556" s="23">
        <v>0</v>
      </c>
      <c r="M556"/>
      <c r="N556"/>
      <c r="O556"/>
      <c r="P556"/>
    </row>
    <row r="557" spans="9:16" x14ac:dyDescent="0.25">
      <c r="I557" s="7">
        <v>553</v>
      </c>
      <c r="J557" s="8">
        <v>7.7326229865756488</v>
      </c>
      <c r="K557" s="23">
        <v>0</v>
      </c>
      <c r="M557"/>
      <c r="N557"/>
      <c r="O557"/>
      <c r="P557"/>
    </row>
    <row r="558" spans="9:16" x14ac:dyDescent="0.25">
      <c r="I558" s="9">
        <v>554</v>
      </c>
      <c r="J558" s="10">
        <v>24.23287277838196</v>
      </c>
      <c r="K558" s="23">
        <v>0</v>
      </c>
      <c r="M558"/>
      <c r="N558"/>
      <c r="O558"/>
      <c r="P558"/>
    </row>
    <row r="559" spans="9:16" x14ac:dyDescent="0.25">
      <c r="I559" s="7">
        <v>555</v>
      </c>
      <c r="J559" s="8">
        <v>-18.057171759822495</v>
      </c>
      <c r="K559" s="23">
        <v>0</v>
      </c>
      <c r="M559"/>
      <c r="N559"/>
      <c r="O559"/>
      <c r="P559"/>
    </row>
    <row r="560" spans="9:16" x14ac:dyDescent="0.25">
      <c r="I560" s="9">
        <v>556</v>
      </c>
      <c r="J560" s="10">
        <v>37.827715208314245</v>
      </c>
      <c r="K560" s="23">
        <v>0</v>
      </c>
      <c r="M560"/>
      <c r="N560"/>
      <c r="O560"/>
      <c r="P560"/>
    </row>
    <row r="561" spans="9:16" x14ac:dyDescent="0.25">
      <c r="I561" s="7">
        <v>557</v>
      </c>
      <c r="J561" s="8">
        <v>9.9303987254883737</v>
      </c>
      <c r="K561" s="23">
        <v>0</v>
      </c>
      <c r="M561"/>
      <c r="N561"/>
      <c r="O561"/>
      <c r="P561"/>
    </row>
    <row r="562" spans="9:16" x14ac:dyDescent="0.25">
      <c r="I562" s="9">
        <v>558</v>
      </c>
      <c r="J562" s="10">
        <v>17.125795649751439</v>
      </c>
      <c r="K562" s="23">
        <v>0</v>
      </c>
      <c r="M562"/>
      <c r="N562"/>
      <c r="O562"/>
      <c r="P562"/>
    </row>
    <row r="563" spans="9:16" x14ac:dyDescent="0.25">
      <c r="I563" s="7">
        <v>559</v>
      </c>
      <c r="J563" s="8">
        <v>1.8226285236897866</v>
      </c>
      <c r="K563" s="23">
        <v>0</v>
      </c>
      <c r="M563"/>
      <c r="N563"/>
      <c r="O563"/>
      <c r="P563"/>
    </row>
    <row r="564" spans="9:16" x14ac:dyDescent="0.25">
      <c r="I564" s="9">
        <v>560</v>
      </c>
      <c r="J564" s="10">
        <v>22.296367428588951</v>
      </c>
      <c r="K564" s="23">
        <v>0</v>
      </c>
      <c r="M564"/>
      <c r="N564"/>
      <c r="O564"/>
      <c r="P564"/>
    </row>
    <row r="565" spans="9:16" x14ac:dyDescent="0.25">
      <c r="I565" s="7">
        <v>561</v>
      </c>
      <c r="J565" s="8">
        <v>21.848096995164411</v>
      </c>
      <c r="K565" s="23">
        <v>0</v>
      </c>
      <c r="M565"/>
      <c r="N565"/>
      <c r="O565"/>
      <c r="P565"/>
    </row>
    <row r="566" spans="9:16" x14ac:dyDescent="0.25">
      <c r="I566" s="9">
        <v>562</v>
      </c>
      <c r="J566" s="10">
        <v>26.790120094839267</v>
      </c>
      <c r="K566" s="23">
        <v>0</v>
      </c>
      <c r="M566"/>
      <c r="N566"/>
      <c r="O566"/>
      <c r="P566"/>
    </row>
    <row r="567" spans="9:16" x14ac:dyDescent="0.25">
      <c r="I567" s="7">
        <v>563</v>
      </c>
      <c r="J567" s="8">
        <v>3.1884662952688529</v>
      </c>
      <c r="K567" s="23">
        <v>0</v>
      </c>
      <c r="M567"/>
      <c r="N567"/>
      <c r="O567"/>
      <c r="P567"/>
    </row>
    <row r="568" spans="9:16" x14ac:dyDescent="0.25">
      <c r="I568" s="9">
        <v>564</v>
      </c>
      <c r="J568" s="10">
        <v>24.122161917236426</v>
      </c>
      <c r="K568" s="23">
        <v>0</v>
      </c>
      <c r="M568"/>
      <c r="N568"/>
      <c r="O568"/>
      <c r="P568"/>
    </row>
    <row r="569" spans="9:16" x14ac:dyDescent="0.25">
      <c r="I569" s="7">
        <v>565</v>
      </c>
      <c r="J569" s="8">
        <v>-6.1967640273768154</v>
      </c>
      <c r="K569" s="23">
        <v>0</v>
      </c>
      <c r="M569"/>
      <c r="N569"/>
      <c r="O569"/>
      <c r="P569"/>
    </row>
    <row r="570" spans="9:16" x14ac:dyDescent="0.25">
      <c r="I570" s="9">
        <v>566</v>
      </c>
      <c r="J570" s="10">
        <v>0.89488137791639133</v>
      </c>
      <c r="K570" s="23">
        <v>0</v>
      </c>
      <c r="M570"/>
      <c r="N570"/>
      <c r="O570"/>
      <c r="P570"/>
    </row>
    <row r="571" spans="9:16" x14ac:dyDescent="0.25">
      <c r="I571" s="7">
        <v>567</v>
      </c>
      <c r="J571" s="8">
        <v>15.855434120022736</v>
      </c>
      <c r="K571" s="23">
        <v>0</v>
      </c>
      <c r="M571"/>
      <c r="N571"/>
      <c r="O571"/>
      <c r="P571"/>
    </row>
    <row r="572" spans="9:16" x14ac:dyDescent="0.25">
      <c r="I572" s="9">
        <v>568</v>
      </c>
      <c r="J572" s="10">
        <v>-1.3561739680319249</v>
      </c>
      <c r="K572" s="23">
        <v>0</v>
      </c>
      <c r="M572"/>
      <c r="N572"/>
      <c r="O572"/>
      <c r="P572"/>
    </row>
    <row r="573" spans="9:16" x14ac:dyDescent="0.25">
      <c r="I573" s="7">
        <v>569</v>
      </c>
      <c r="J573" s="8">
        <v>-4.1781339833721205</v>
      </c>
      <c r="K573" s="23">
        <v>0</v>
      </c>
      <c r="M573"/>
      <c r="N573"/>
      <c r="O573"/>
      <c r="P573"/>
    </row>
    <row r="574" spans="9:16" x14ac:dyDescent="0.25">
      <c r="I574" s="9">
        <v>570</v>
      </c>
      <c r="J574" s="10">
        <v>35.629046476683996</v>
      </c>
      <c r="K574" s="23">
        <v>0</v>
      </c>
      <c r="M574"/>
      <c r="N574"/>
      <c r="O574"/>
      <c r="P574"/>
    </row>
    <row r="575" spans="9:16" x14ac:dyDescent="0.25">
      <c r="I575" s="7">
        <v>571</v>
      </c>
      <c r="J575" s="8">
        <v>20.401669365136769</v>
      </c>
      <c r="K575" s="23">
        <v>0</v>
      </c>
      <c r="M575"/>
      <c r="N575"/>
      <c r="O575"/>
      <c r="P575"/>
    </row>
    <row r="576" spans="9:16" x14ac:dyDescent="0.25">
      <c r="I576" s="9">
        <v>572</v>
      </c>
      <c r="J576" s="10">
        <v>5.8600433915701728</v>
      </c>
      <c r="K576" s="23">
        <v>0</v>
      </c>
      <c r="M576"/>
      <c r="N576"/>
      <c r="O576"/>
      <c r="P576"/>
    </row>
    <row r="577" spans="9:16" x14ac:dyDescent="0.25">
      <c r="I577" s="7">
        <v>573</v>
      </c>
      <c r="J577" s="8">
        <v>20.676703415819489</v>
      </c>
      <c r="K577" s="23">
        <v>0</v>
      </c>
      <c r="M577"/>
      <c r="N577"/>
      <c r="O577"/>
      <c r="P577"/>
    </row>
    <row r="578" spans="9:16" x14ac:dyDescent="0.25">
      <c r="I578" s="9">
        <v>574</v>
      </c>
      <c r="J578" s="10">
        <v>9.5867313733638184</v>
      </c>
      <c r="K578" s="23">
        <v>0</v>
      </c>
      <c r="M578"/>
      <c r="N578"/>
      <c r="O578"/>
      <c r="P578"/>
    </row>
    <row r="579" spans="9:16" x14ac:dyDescent="0.25">
      <c r="I579" s="7">
        <v>575</v>
      </c>
      <c r="J579" s="8">
        <v>1.4704166666128486</v>
      </c>
      <c r="K579" s="23">
        <v>0</v>
      </c>
      <c r="M579"/>
      <c r="N579"/>
      <c r="O579"/>
      <c r="P579"/>
    </row>
    <row r="580" spans="9:16" x14ac:dyDescent="0.25">
      <c r="I580" s="9">
        <v>576</v>
      </c>
      <c r="J580" s="10">
        <v>4.9251960338435055</v>
      </c>
      <c r="K580" s="23">
        <v>0</v>
      </c>
      <c r="M580"/>
      <c r="N580"/>
      <c r="O580"/>
      <c r="P580"/>
    </row>
    <row r="581" spans="9:16" x14ac:dyDescent="0.25">
      <c r="I581" s="7">
        <v>577</v>
      </c>
      <c r="J581" s="8">
        <v>-0.48056325901998775</v>
      </c>
      <c r="K581" s="23">
        <v>0</v>
      </c>
      <c r="M581"/>
      <c r="N581"/>
      <c r="O581"/>
      <c r="P581"/>
    </row>
    <row r="582" spans="9:16" x14ac:dyDescent="0.25">
      <c r="I582" s="9">
        <v>578</v>
      </c>
      <c r="J582" s="10">
        <v>26.786640273868159</v>
      </c>
      <c r="K582" s="23">
        <v>0</v>
      </c>
      <c r="M582"/>
      <c r="N582"/>
      <c r="O582"/>
      <c r="P582"/>
    </row>
    <row r="583" spans="9:16" x14ac:dyDescent="0.25">
      <c r="I583" s="7">
        <v>579</v>
      </c>
      <c r="J583" s="8">
        <v>-14.99334015306799</v>
      </c>
      <c r="K583" s="23">
        <v>0</v>
      </c>
      <c r="M583"/>
      <c r="N583"/>
      <c r="O583"/>
      <c r="P583"/>
    </row>
    <row r="584" spans="9:16" x14ac:dyDescent="0.25">
      <c r="I584" s="9">
        <v>580</v>
      </c>
      <c r="J584" s="10">
        <v>13.555916912765099</v>
      </c>
      <c r="K584" s="23">
        <v>0</v>
      </c>
      <c r="M584"/>
      <c r="N584"/>
      <c r="O584"/>
      <c r="P584"/>
    </row>
    <row r="585" spans="9:16" x14ac:dyDescent="0.25">
      <c r="I585" s="7">
        <v>581</v>
      </c>
      <c r="J585" s="8">
        <v>-3.4271160697972931</v>
      </c>
      <c r="K585" s="23">
        <v>0</v>
      </c>
      <c r="M585"/>
      <c r="N585"/>
      <c r="O585"/>
      <c r="P585"/>
    </row>
    <row r="586" spans="9:16" x14ac:dyDescent="0.25">
      <c r="I586" s="9">
        <v>582</v>
      </c>
      <c r="J586" s="10">
        <v>21.557792477744869</v>
      </c>
      <c r="K586" s="23">
        <v>0</v>
      </c>
      <c r="M586"/>
      <c r="N586"/>
      <c r="O586"/>
      <c r="P586"/>
    </row>
    <row r="587" spans="9:16" x14ac:dyDescent="0.25">
      <c r="I587" s="7">
        <v>583</v>
      </c>
      <c r="J587" s="8">
        <v>12.703974735437839</v>
      </c>
      <c r="K587" s="23">
        <v>0</v>
      </c>
      <c r="M587"/>
      <c r="N587"/>
      <c r="O587"/>
      <c r="P587"/>
    </row>
    <row r="588" spans="9:16" x14ac:dyDescent="0.25">
      <c r="I588" s="9">
        <v>584</v>
      </c>
      <c r="J588" s="10">
        <v>25.262947239227088</v>
      </c>
      <c r="K588" s="23">
        <v>0</v>
      </c>
      <c r="M588"/>
      <c r="N588"/>
      <c r="O588"/>
      <c r="P588"/>
    </row>
    <row r="589" spans="9:16" x14ac:dyDescent="0.25">
      <c r="I589" s="7">
        <v>585</v>
      </c>
      <c r="J589" s="8">
        <v>7.8966162406714631</v>
      </c>
      <c r="K589" s="23">
        <v>0</v>
      </c>
      <c r="M589"/>
      <c r="N589"/>
      <c r="O589"/>
      <c r="P589"/>
    </row>
    <row r="590" spans="9:16" x14ac:dyDescent="0.25">
      <c r="I590" s="9">
        <v>586</v>
      </c>
      <c r="J590" s="10">
        <v>2.412920663082275</v>
      </c>
      <c r="K590" s="23">
        <v>0</v>
      </c>
      <c r="M590"/>
      <c r="N590"/>
      <c r="O590"/>
      <c r="P590"/>
    </row>
    <row r="591" spans="9:16" x14ac:dyDescent="0.25">
      <c r="I591" s="7">
        <v>587</v>
      </c>
      <c r="J591" s="8">
        <v>13.808366319843586</v>
      </c>
      <c r="K591" s="23">
        <v>0</v>
      </c>
      <c r="M591"/>
      <c r="N591"/>
      <c r="O591"/>
      <c r="P591"/>
    </row>
    <row r="592" spans="9:16" x14ac:dyDescent="0.25">
      <c r="I592" s="9">
        <v>588</v>
      </c>
      <c r="J592" s="10">
        <v>35.326867096813089</v>
      </c>
      <c r="K592" s="23">
        <v>0</v>
      </c>
      <c r="M592"/>
      <c r="N592"/>
      <c r="O592"/>
      <c r="P592"/>
    </row>
    <row r="593" spans="9:16" x14ac:dyDescent="0.25">
      <c r="I593" s="7">
        <v>589</v>
      </c>
      <c r="J593" s="8">
        <v>15.592488932155717</v>
      </c>
      <c r="K593" s="23">
        <v>0</v>
      </c>
      <c r="M593"/>
      <c r="N593"/>
      <c r="O593"/>
      <c r="P593"/>
    </row>
    <row r="594" spans="9:16" x14ac:dyDescent="0.25">
      <c r="I594" s="9">
        <v>590</v>
      </c>
      <c r="J594" s="10">
        <v>31.621393118578183</v>
      </c>
      <c r="K594" s="23">
        <v>0</v>
      </c>
      <c r="M594"/>
      <c r="N594"/>
      <c r="O594"/>
      <c r="P594"/>
    </row>
    <row r="595" spans="9:16" x14ac:dyDescent="0.25">
      <c r="I595" s="7">
        <v>591</v>
      </c>
      <c r="J595" s="8">
        <v>26.889607385538625</v>
      </c>
      <c r="K595" s="23">
        <v>0</v>
      </c>
      <c r="M595"/>
      <c r="N595"/>
      <c r="O595"/>
      <c r="P595"/>
    </row>
    <row r="596" spans="9:16" x14ac:dyDescent="0.25">
      <c r="I596" s="9">
        <v>592</v>
      </c>
      <c r="J596" s="10">
        <v>10.48988821872635</v>
      </c>
      <c r="K596" s="23">
        <v>0</v>
      </c>
      <c r="M596"/>
      <c r="N596"/>
      <c r="O596"/>
      <c r="P596"/>
    </row>
    <row r="597" spans="9:16" x14ac:dyDescent="0.25">
      <c r="I597" s="7">
        <v>593</v>
      </c>
      <c r="J597" s="8">
        <v>-5.3340963930296539</v>
      </c>
      <c r="K597" s="23">
        <v>0</v>
      </c>
      <c r="M597"/>
      <c r="N597"/>
      <c r="O597"/>
      <c r="P597"/>
    </row>
    <row r="598" spans="9:16" x14ac:dyDescent="0.25">
      <c r="I598" s="9">
        <v>594</v>
      </c>
      <c r="J598" s="10">
        <v>36.1515038937886</v>
      </c>
      <c r="K598" s="23">
        <v>0</v>
      </c>
      <c r="M598"/>
      <c r="N598"/>
      <c r="O598"/>
      <c r="P598"/>
    </row>
    <row r="599" spans="9:16" x14ac:dyDescent="0.25">
      <c r="I599" s="7">
        <v>595</v>
      </c>
      <c r="J599" s="8">
        <v>41.11549607823693</v>
      </c>
      <c r="K599" s="23">
        <v>0</v>
      </c>
      <c r="M599"/>
      <c r="N599"/>
      <c r="O599"/>
      <c r="P599"/>
    </row>
    <row r="600" spans="9:16" x14ac:dyDescent="0.25">
      <c r="I600" s="9">
        <v>596</v>
      </c>
      <c r="J600" s="10">
        <v>11.926939002131519</v>
      </c>
      <c r="K600" s="23">
        <v>0</v>
      </c>
      <c r="M600"/>
      <c r="N600"/>
      <c r="O600"/>
      <c r="P600"/>
    </row>
    <row r="601" spans="9:16" x14ac:dyDescent="0.25">
      <c r="I601" s="7">
        <v>597</v>
      </c>
      <c r="J601" s="8">
        <v>19.352298774482023</v>
      </c>
      <c r="K601" s="23">
        <v>0</v>
      </c>
      <c r="M601"/>
      <c r="N601"/>
      <c r="O601"/>
      <c r="P601"/>
    </row>
    <row r="602" spans="9:16" x14ac:dyDescent="0.25">
      <c r="I602" s="9">
        <v>598</v>
      </c>
      <c r="J602" s="10">
        <v>-18.054483461372001</v>
      </c>
      <c r="K602" s="23">
        <v>0</v>
      </c>
      <c r="M602"/>
      <c r="N602"/>
      <c r="O602"/>
      <c r="P602"/>
    </row>
    <row r="603" spans="9:16" x14ac:dyDescent="0.25">
      <c r="I603" s="7">
        <v>599</v>
      </c>
      <c r="J603" s="8">
        <v>30.821474958063078</v>
      </c>
      <c r="K603" s="23">
        <v>0</v>
      </c>
      <c r="M603"/>
      <c r="N603"/>
      <c r="O603"/>
      <c r="P603"/>
    </row>
    <row r="604" spans="9:16" x14ac:dyDescent="0.25">
      <c r="I604" s="9">
        <v>600</v>
      </c>
      <c r="J604" s="10">
        <v>8.6234159313091396</v>
      </c>
      <c r="K604" s="23">
        <v>0</v>
      </c>
      <c r="M604"/>
      <c r="N604"/>
      <c r="O604"/>
      <c r="P604"/>
    </row>
    <row r="605" spans="9:16" x14ac:dyDescent="0.25">
      <c r="I605" s="7">
        <v>601</v>
      </c>
      <c r="J605" s="8">
        <v>13.143355471215699</v>
      </c>
      <c r="K605" s="23">
        <v>0</v>
      </c>
      <c r="M605"/>
      <c r="N605"/>
      <c r="O605"/>
      <c r="P605"/>
    </row>
    <row r="606" spans="9:16" x14ac:dyDescent="0.25">
      <c r="I606" s="9">
        <v>602</v>
      </c>
      <c r="J606" s="10">
        <v>26.913525077465948</v>
      </c>
      <c r="K606" s="23">
        <v>0</v>
      </c>
      <c r="M606"/>
      <c r="N606"/>
      <c r="O606"/>
      <c r="P606"/>
    </row>
    <row r="607" spans="9:16" x14ac:dyDescent="0.25">
      <c r="I607" s="7">
        <v>603</v>
      </c>
      <c r="J607" s="8">
        <v>33.286724555272656</v>
      </c>
      <c r="K607" s="23">
        <v>0</v>
      </c>
      <c r="M607"/>
      <c r="N607"/>
      <c r="O607"/>
      <c r="P607"/>
    </row>
    <row r="608" spans="9:16" x14ac:dyDescent="0.25">
      <c r="I608" s="9">
        <v>604</v>
      </c>
      <c r="J608" s="10">
        <v>19.14855752369462</v>
      </c>
      <c r="K608" s="23">
        <v>0</v>
      </c>
      <c r="M608"/>
      <c r="N608"/>
      <c r="O608"/>
      <c r="P608"/>
    </row>
    <row r="609" spans="9:16" x14ac:dyDescent="0.25">
      <c r="I609" s="7">
        <v>605</v>
      </c>
      <c r="J609" s="8">
        <v>-7.1843439705769185</v>
      </c>
      <c r="K609" s="23">
        <v>0</v>
      </c>
      <c r="M609"/>
      <c r="N609"/>
      <c r="O609"/>
      <c r="P609"/>
    </row>
    <row r="610" spans="9:16" x14ac:dyDescent="0.25">
      <c r="I610" s="9">
        <v>606</v>
      </c>
      <c r="J610" s="10">
        <v>28.831936937209605</v>
      </c>
      <c r="K610" s="23">
        <v>0</v>
      </c>
      <c r="M610"/>
      <c r="N610"/>
      <c r="O610"/>
      <c r="P610"/>
    </row>
    <row r="611" spans="9:16" x14ac:dyDescent="0.25">
      <c r="I611" s="7">
        <v>607</v>
      </c>
      <c r="J611" s="8">
        <v>2.5189745897102256</v>
      </c>
      <c r="K611" s="23">
        <v>0</v>
      </c>
      <c r="M611"/>
      <c r="N611"/>
      <c r="O611"/>
      <c r="P611"/>
    </row>
    <row r="612" spans="9:16" x14ac:dyDescent="0.25">
      <c r="I612" s="9">
        <v>608</v>
      </c>
      <c r="J612" s="10">
        <v>49.071842809695141</v>
      </c>
      <c r="K612" s="23">
        <v>0</v>
      </c>
      <c r="M612"/>
      <c r="N612"/>
      <c r="O612"/>
      <c r="P612"/>
    </row>
    <row r="613" spans="9:16" x14ac:dyDescent="0.25">
      <c r="I613" s="7">
        <v>609</v>
      </c>
      <c r="J613" s="8">
        <v>27.857097053116235</v>
      </c>
      <c r="K613" s="23">
        <v>0</v>
      </c>
      <c r="M613"/>
      <c r="N613"/>
      <c r="O613"/>
      <c r="P613"/>
    </row>
    <row r="614" spans="9:16" x14ac:dyDescent="0.25">
      <c r="I614" s="9">
        <v>610</v>
      </c>
      <c r="J614" s="10">
        <v>10.358213256470833</v>
      </c>
      <c r="K614" s="23">
        <v>0</v>
      </c>
      <c r="M614"/>
      <c r="N614"/>
      <c r="O614"/>
      <c r="P614"/>
    </row>
    <row r="615" spans="9:16" x14ac:dyDescent="0.25">
      <c r="I615" s="7">
        <v>611</v>
      </c>
      <c r="J615" s="8">
        <v>10.856836614348197</v>
      </c>
      <c r="K615" s="23">
        <v>0</v>
      </c>
      <c r="M615"/>
      <c r="N615"/>
      <c r="O615"/>
      <c r="P615"/>
    </row>
    <row r="616" spans="9:16" x14ac:dyDescent="0.25">
      <c r="I616" s="9">
        <v>612</v>
      </c>
      <c r="J616" s="10">
        <v>4.0191185649256909</v>
      </c>
      <c r="K616" s="23">
        <v>0</v>
      </c>
      <c r="M616"/>
      <c r="N616"/>
      <c r="O616"/>
      <c r="P616"/>
    </row>
    <row r="617" spans="9:16" x14ac:dyDescent="0.25">
      <c r="I617" s="7">
        <v>613</v>
      </c>
      <c r="J617" s="8">
        <v>11.176113580351625</v>
      </c>
      <c r="K617" s="23">
        <v>0</v>
      </c>
      <c r="M617"/>
      <c r="N617"/>
      <c r="O617"/>
      <c r="P617"/>
    </row>
    <row r="618" spans="9:16" x14ac:dyDescent="0.25">
      <c r="I618" s="9">
        <v>614</v>
      </c>
      <c r="J618" s="10">
        <v>4.0041770527479059</v>
      </c>
      <c r="K618" s="23">
        <v>0</v>
      </c>
      <c r="M618"/>
      <c r="N618"/>
      <c r="O618"/>
      <c r="P618"/>
    </row>
    <row r="619" spans="9:16" x14ac:dyDescent="0.25">
      <c r="I619" s="7">
        <v>615</v>
      </c>
      <c r="J619" s="8">
        <v>21.371447966550264</v>
      </c>
      <c r="K619" s="23">
        <v>0</v>
      </c>
      <c r="M619"/>
      <c r="N619"/>
      <c r="O619"/>
      <c r="P619"/>
    </row>
    <row r="620" spans="9:16" x14ac:dyDescent="0.25">
      <c r="I620" s="9">
        <v>616</v>
      </c>
      <c r="J620" s="10">
        <v>30.397017607233437</v>
      </c>
      <c r="K620" s="23">
        <v>0</v>
      </c>
      <c r="M620"/>
      <c r="N620"/>
      <c r="O620"/>
      <c r="P620"/>
    </row>
    <row r="621" spans="9:16" x14ac:dyDescent="0.25">
      <c r="I621" s="7">
        <v>617</v>
      </c>
      <c r="J621" s="8">
        <v>18.289644920053149</v>
      </c>
      <c r="K621" s="23">
        <v>0</v>
      </c>
      <c r="M621"/>
      <c r="N621"/>
      <c r="O621"/>
      <c r="P621"/>
    </row>
    <row r="622" spans="9:16" x14ac:dyDescent="0.25">
      <c r="I622" s="9">
        <v>618</v>
      </c>
      <c r="J622" s="10">
        <v>-2.9712504998151985</v>
      </c>
      <c r="K622" s="23">
        <v>0</v>
      </c>
      <c r="M622"/>
      <c r="N622"/>
      <c r="O622"/>
      <c r="P622"/>
    </row>
    <row r="623" spans="9:16" x14ac:dyDescent="0.25">
      <c r="I623" s="7">
        <v>619</v>
      </c>
      <c r="J623" s="8">
        <v>7.3590785971601065</v>
      </c>
      <c r="K623" s="23">
        <v>0</v>
      </c>
      <c r="M623"/>
      <c r="N623"/>
      <c r="O623"/>
      <c r="P623"/>
    </row>
    <row r="624" spans="9:16" x14ac:dyDescent="0.25">
      <c r="I624" s="9">
        <v>620</v>
      </c>
      <c r="J624" s="10">
        <v>3.6097559715991565</v>
      </c>
      <c r="K624" s="23">
        <v>0</v>
      </c>
      <c r="M624"/>
      <c r="N624"/>
      <c r="O624"/>
      <c r="P624"/>
    </row>
    <row r="625" spans="9:16" x14ac:dyDescent="0.25">
      <c r="I625" s="7">
        <v>621</v>
      </c>
      <c r="J625" s="8">
        <v>16.171028045898282</v>
      </c>
      <c r="K625" s="23">
        <v>0</v>
      </c>
      <c r="M625"/>
      <c r="N625"/>
      <c r="O625"/>
      <c r="P625"/>
    </row>
    <row r="626" spans="9:16" x14ac:dyDescent="0.25">
      <c r="I626" s="9">
        <v>622</v>
      </c>
      <c r="J626" s="10">
        <v>16.53881356167436</v>
      </c>
      <c r="K626" s="23">
        <v>0</v>
      </c>
      <c r="M626"/>
      <c r="N626"/>
      <c r="O626"/>
      <c r="P626"/>
    </row>
    <row r="627" spans="9:16" x14ac:dyDescent="0.25">
      <c r="I627" s="7">
        <v>623</v>
      </c>
      <c r="J627" s="8">
        <v>32.852210218750486</v>
      </c>
      <c r="K627" s="23">
        <v>0</v>
      </c>
      <c r="M627"/>
      <c r="N627"/>
      <c r="O627"/>
      <c r="P627"/>
    </row>
    <row r="628" spans="9:16" x14ac:dyDescent="0.25">
      <c r="I628" s="9">
        <v>624</v>
      </c>
      <c r="J628" s="10">
        <v>13.907321495255019</v>
      </c>
      <c r="K628" s="23">
        <v>0</v>
      </c>
      <c r="M628"/>
      <c r="N628"/>
      <c r="O628"/>
      <c r="P628"/>
    </row>
    <row r="629" spans="9:16" x14ac:dyDescent="0.25">
      <c r="I629" s="7">
        <v>625</v>
      </c>
      <c r="J629" s="8">
        <v>33.141027858822241</v>
      </c>
      <c r="K629" s="23">
        <v>0</v>
      </c>
      <c r="M629"/>
      <c r="N629"/>
      <c r="O629"/>
      <c r="P629"/>
    </row>
    <row r="630" spans="9:16" x14ac:dyDescent="0.25">
      <c r="I630" s="9">
        <v>626</v>
      </c>
      <c r="J630" s="10">
        <v>4.6106525765738269</v>
      </c>
      <c r="K630" s="23">
        <v>0</v>
      </c>
      <c r="M630"/>
      <c r="N630"/>
      <c r="O630"/>
      <c r="P630"/>
    </row>
    <row r="631" spans="9:16" x14ac:dyDescent="0.25">
      <c r="I631" s="7">
        <v>627</v>
      </c>
      <c r="J631" s="8">
        <v>-6.6284959111913224</v>
      </c>
      <c r="K631" s="23">
        <v>0</v>
      </c>
      <c r="M631"/>
      <c r="N631"/>
      <c r="O631"/>
      <c r="P631"/>
    </row>
    <row r="632" spans="9:16" x14ac:dyDescent="0.25">
      <c r="I632" s="9">
        <v>628</v>
      </c>
      <c r="J632" s="10">
        <v>24.700106588757023</v>
      </c>
      <c r="K632" s="23">
        <v>0</v>
      </c>
      <c r="M632"/>
      <c r="N632"/>
      <c r="O632"/>
      <c r="P632"/>
    </row>
    <row r="633" spans="9:16" x14ac:dyDescent="0.25">
      <c r="I633" s="7">
        <v>629</v>
      </c>
      <c r="J633" s="8">
        <v>37.568122736639253</v>
      </c>
      <c r="K633" s="23">
        <v>0</v>
      </c>
      <c r="M633"/>
      <c r="N633"/>
      <c r="O633"/>
      <c r="P633"/>
    </row>
    <row r="634" spans="9:16" x14ac:dyDescent="0.25">
      <c r="I634" s="9">
        <v>630</v>
      </c>
      <c r="J634" s="10">
        <v>19.611902331564977</v>
      </c>
      <c r="K634" s="23">
        <v>0</v>
      </c>
      <c r="M634"/>
      <c r="N634"/>
      <c r="O634"/>
      <c r="P634"/>
    </row>
    <row r="635" spans="9:16" x14ac:dyDescent="0.25">
      <c r="I635" s="7">
        <v>631</v>
      </c>
      <c r="J635" s="8">
        <v>-9.9800375358672397</v>
      </c>
      <c r="K635" s="23">
        <v>0</v>
      </c>
      <c r="M635"/>
      <c r="N635"/>
      <c r="O635"/>
      <c r="P635"/>
    </row>
    <row r="636" spans="9:16" x14ac:dyDescent="0.25">
      <c r="I636" s="9">
        <v>632</v>
      </c>
      <c r="J636" s="10">
        <v>19.193828007586859</v>
      </c>
      <c r="K636" s="23">
        <v>0</v>
      </c>
      <c r="M636"/>
      <c r="N636"/>
      <c r="O636"/>
      <c r="P636"/>
    </row>
    <row r="637" spans="9:16" x14ac:dyDescent="0.25">
      <c r="I637" s="7">
        <v>633</v>
      </c>
      <c r="J637" s="8">
        <v>14.542909142165399</v>
      </c>
      <c r="K637" s="23">
        <v>0</v>
      </c>
      <c r="M637"/>
      <c r="N637"/>
      <c r="O637"/>
      <c r="P637"/>
    </row>
    <row r="638" spans="9:16" x14ac:dyDescent="0.25">
      <c r="I638" s="9">
        <v>634</v>
      </c>
      <c r="J638" s="10">
        <v>25.011675721545501</v>
      </c>
      <c r="K638" s="23">
        <v>0</v>
      </c>
      <c r="M638"/>
      <c r="N638"/>
      <c r="O638"/>
      <c r="P638"/>
    </row>
    <row r="639" spans="9:16" x14ac:dyDescent="0.25">
      <c r="I639" s="7">
        <v>635</v>
      </c>
      <c r="J639" s="8">
        <v>-4.1406580347385642</v>
      </c>
      <c r="K639" s="23">
        <v>0</v>
      </c>
      <c r="M639"/>
      <c r="N639"/>
      <c r="O639"/>
      <c r="P639"/>
    </row>
    <row r="640" spans="9:16" x14ac:dyDescent="0.25">
      <c r="I640" s="9">
        <v>636</v>
      </c>
      <c r="J640" s="10">
        <v>12.342677486078145</v>
      </c>
      <c r="K640" s="23">
        <v>0</v>
      </c>
      <c r="M640"/>
      <c r="N640"/>
      <c r="O640"/>
      <c r="P640"/>
    </row>
    <row r="641" spans="9:16" x14ac:dyDescent="0.25">
      <c r="I641" s="7">
        <v>637</v>
      </c>
      <c r="J641" s="8">
        <v>33.077230149077792</v>
      </c>
      <c r="K641" s="23">
        <v>0</v>
      </c>
      <c r="M641"/>
      <c r="N641"/>
      <c r="O641"/>
      <c r="P641"/>
    </row>
    <row r="642" spans="9:16" x14ac:dyDescent="0.25">
      <c r="I642" s="9">
        <v>638</v>
      </c>
      <c r="J642" s="10">
        <v>30.996639172128539</v>
      </c>
      <c r="K642" s="23">
        <v>0</v>
      </c>
      <c r="M642"/>
      <c r="N642"/>
      <c r="O642"/>
      <c r="P642"/>
    </row>
    <row r="643" spans="9:16" x14ac:dyDescent="0.25">
      <c r="I643" s="7">
        <v>639</v>
      </c>
      <c r="J643" s="8">
        <v>-5.2400142147609472</v>
      </c>
      <c r="K643" s="23">
        <v>0</v>
      </c>
      <c r="M643"/>
      <c r="N643"/>
      <c r="O643"/>
      <c r="P643"/>
    </row>
    <row r="644" spans="9:16" x14ac:dyDescent="0.25">
      <c r="I644" s="9">
        <v>640</v>
      </c>
      <c r="J644" s="10">
        <v>29.840963830153555</v>
      </c>
      <c r="K644" s="23">
        <v>0</v>
      </c>
      <c r="M644"/>
      <c r="N644"/>
      <c r="O644"/>
      <c r="P644"/>
    </row>
    <row r="645" spans="9:16" x14ac:dyDescent="0.25">
      <c r="I645" s="7">
        <v>641</v>
      </c>
      <c r="J645" s="8">
        <v>4.0992710443192095</v>
      </c>
      <c r="K645" s="23">
        <v>0</v>
      </c>
      <c r="M645"/>
      <c r="N645"/>
      <c r="O645"/>
      <c r="P645"/>
    </row>
    <row r="646" spans="9:16" x14ac:dyDescent="0.25">
      <c r="I646" s="9">
        <v>642</v>
      </c>
      <c r="J646" s="10">
        <v>12.721914377655025</v>
      </c>
      <c r="K646" s="23">
        <v>0</v>
      </c>
      <c r="M646"/>
      <c r="N646"/>
      <c r="O646"/>
      <c r="P646"/>
    </row>
    <row r="647" spans="9:16" x14ac:dyDescent="0.25">
      <c r="I647" s="7">
        <v>643</v>
      </c>
      <c r="J647" s="8">
        <v>14.671767921936265</v>
      </c>
      <c r="K647" s="23">
        <v>0</v>
      </c>
      <c r="M647"/>
      <c r="N647"/>
      <c r="O647"/>
      <c r="P647"/>
    </row>
    <row r="648" spans="9:16" x14ac:dyDescent="0.25">
      <c r="I648" s="9">
        <v>644</v>
      </c>
      <c r="J648" s="10">
        <v>6.2445446854780187</v>
      </c>
      <c r="K648" s="23">
        <v>0</v>
      </c>
      <c r="M648"/>
      <c r="N648"/>
      <c r="O648"/>
      <c r="P648"/>
    </row>
    <row r="649" spans="9:16" x14ac:dyDescent="0.25">
      <c r="I649" s="7">
        <v>645</v>
      </c>
      <c r="J649" s="8">
        <v>-10.466100154445286</v>
      </c>
      <c r="K649" s="23">
        <v>0</v>
      </c>
      <c r="M649"/>
      <c r="N649"/>
      <c r="O649"/>
      <c r="P649"/>
    </row>
    <row r="650" spans="9:16" x14ac:dyDescent="0.25">
      <c r="I650" s="9">
        <v>646</v>
      </c>
      <c r="J650" s="10">
        <v>56.766698039257122</v>
      </c>
      <c r="K650" s="23">
        <v>0</v>
      </c>
      <c r="M650"/>
      <c r="N650"/>
      <c r="O650"/>
      <c r="P650"/>
    </row>
    <row r="651" spans="9:16" x14ac:dyDescent="0.25">
      <c r="I651" s="7">
        <v>647</v>
      </c>
      <c r="J651" s="8">
        <v>23.970165617444536</v>
      </c>
      <c r="K651" s="23">
        <v>0</v>
      </c>
      <c r="M651"/>
      <c r="N651"/>
      <c r="O651"/>
      <c r="P651"/>
    </row>
    <row r="652" spans="9:16" x14ac:dyDescent="0.25">
      <c r="I652" s="9">
        <v>648</v>
      </c>
      <c r="J652" s="10">
        <v>32.10263104956968</v>
      </c>
      <c r="K652" s="23">
        <v>0</v>
      </c>
      <c r="M652"/>
      <c r="N652"/>
      <c r="O652"/>
      <c r="P652"/>
    </row>
    <row r="653" spans="9:16" x14ac:dyDescent="0.25">
      <c r="I653" s="7">
        <v>649</v>
      </c>
      <c r="J653" s="8">
        <v>39.747937543727858</v>
      </c>
      <c r="K653" s="23">
        <v>0</v>
      </c>
      <c r="M653"/>
      <c r="N653"/>
      <c r="O653"/>
      <c r="P653"/>
    </row>
    <row r="654" spans="9:16" x14ac:dyDescent="0.25">
      <c r="I654" s="9">
        <v>650</v>
      </c>
      <c r="J654" s="10">
        <v>-2.127947253721743</v>
      </c>
      <c r="K654" s="23">
        <v>0</v>
      </c>
      <c r="M654"/>
      <c r="N654"/>
      <c r="O654"/>
      <c r="P654"/>
    </row>
    <row r="655" spans="9:16" x14ac:dyDescent="0.25">
      <c r="I655" s="7">
        <v>651</v>
      </c>
      <c r="J655" s="8">
        <v>6.668651703046379</v>
      </c>
      <c r="K655" s="23">
        <v>0</v>
      </c>
      <c r="M655"/>
      <c r="N655"/>
      <c r="O655"/>
      <c r="P655"/>
    </row>
    <row r="656" spans="9:16" x14ac:dyDescent="0.25">
      <c r="I656" s="9">
        <v>652</v>
      </c>
      <c r="J656" s="10">
        <v>31.902116036377279</v>
      </c>
      <c r="K656" s="23">
        <v>0</v>
      </c>
      <c r="M656"/>
      <c r="N656"/>
      <c r="O656"/>
      <c r="P656"/>
    </row>
    <row r="657" spans="9:16" x14ac:dyDescent="0.25">
      <c r="I657" s="7">
        <v>653</v>
      </c>
      <c r="J657" s="8">
        <v>30.916155092383022</v>
      </c>
      <c r="K657" s="23">
        <v>0</v>
      </c>
      <c r="M657"/>
      <c r="N657"/>
      <c r="O657"/>
      <c r="P657"/>
    </row>
    <row r="658" spans="9:16" x14ac:dyDescent="0.25">
      <c r="I658" s="9">
        <v>654</v>
      </c>
      <c r="J658" s="10">
        <v>-10.898855319395039</v>
      </c>
      <c r="K658" s="23">
        <v>0</v>
      </c>
      <c r="M658"/>
      <c r="N658"/>
      <c r="O658"/>
      <c r="P658"/>
    </row>
    <row r="659" spans="9:16" x14ac:dyDescent="0.25">
      <c r="I659" s="7">
        <v>655</v>
      </c>
      <c r="J659" s="8">
        <v>15.906983738695544</v>
      </c>
      <c r="K659" s="23">
        <v>0</v>
      </c>
      <c r="M659"/>
      <c r="N659"/>
      <c r="O659"/>
      <c r="P659"/>
    </row>
    <row r="660" spans="9:16" x14ac:dyDescent="0.25">
      <c r="I660" s="9">
        <v>656</v>
      </c>
      <c r="J660" s="10">
        <v>16.712092867668375</v>
      </c>
      <c r="K660" s="23">
        <v>0</v>
      </c>
      <c r="M660"/>
      <c r="N660"/>
      <c r="O660"/>
      <c r="P660"/>
    </row>
    <row r="661" spans="9:16" x14ac:dyDescent="0.25">
      <c r="I661" s="7">
        <v>657</v>
      </c>
      <c r="J661" s="8">
        <v>7.323969311617617</v>
      </c>
      <c r="K661" s="23">
        <v>0</v>
      </c>
      <c r="M661"/>
      <c r="N661"/>
      <c r="O661"/>
      <c r="P661"/>
    </row>
    <row r="662" spans="9:16" x14ac:dyDescent="0.25">
      <c r="I662" s="9">
        <v>658</v>
      </c>
      <c r="J662" s="10">
        <v>-1.3280831581003554</v>
      </c>
      <c r="K662" s="23">
        <v>0</v>
      </c>
      <c r="M662"/>
      <c r="N662"/>
      <c r="O662"/>
      <c r="P662"/>
    </row>
    <row r="663" spans="9:16" x14ac:dyDescent="0.25">
      <c r="I663" s="7">
        <v>659</v>
      </c>
      <c r="J663" s="8">
        <v>37.071880197066946</v>
      </c>
      <c r="K663" s="23">
        <v>0</v>
      </c>
      <c r="M663"/>
      <c r="N663"/>
      <c r="O663"/>
      <c r="P663"/>
    </row>
    <row r="664" spans="9:16" x14ac:dyDescent="0.25">
      <c r="I664" s="9">
        <v>660</v>
      </c>
      <c r="J664" s="10">
        <v>23.99279974504546</v>
      </c>
      <c r="K664" s="23">
        <v>0</v>
      </c>
      <c r="M664"/>
      <c r="N664"/>
      <c r="O664"/>
      <c r="P664"/>
    </row>
    <row r="665" spans="9:16" x14ac:dyDescent="0.25">
      <c r="I665" s="7">
        <v>661</v>
      </c>
      <c r="J665" s="8">
        <v>4.4948305174018088</v>
      </c>
      <c r="K665" s="23">
        <v>0</v>
      </c>
      <c r="M665"/>
      <c r="N665"/>
      <c r="O665"/>
      <c r="P665"/>
    </row>
    <row r="666" spans="9:16" x14ac:dyDescent="0.25">
      <c r="I666" s="9">
        <v>662</v>
      </c>
      <c r="J666" s="10">
        <v>27.966769726097169</v>
      </c>
      <c r="K666" s="23">
        <v>0</v>
      </c>
      <c r="M666"/>
      <c r="N666"/>
      <c r="O666"/>
      <c r="P666"/>
    </row>
    <row r="667" spans="9:16" x14ac:dyDescent="0.25">
      <c r="I667" s="7">
        <v>663</v>
      </c>
      <c r="J667" s="8">
        <v>4.5681202611884828</v>
      </c>
      <c r="K667" s="23">
        <v>0</v>
      </c>
      <c r="M667"/>
      <c r="N667"/>
      <c r="O667"/>
      <c r="P667"/>
    </row>
    <row r="668" spans="9:16" x14ac:dyDescent="0.25">
      <c r="I668" s="9">
        <v>664</v>
      </c>
      <c r="J668" s="10">
        <v>34.119492379362811</v>
      </c>
      <c r="K668" s="23">
        <v>0</v>
      </c>
      <c r="M668"/>
      <c r="N668"/>
      <c r="O668"/>
      <c r="P668"/>
    </row>
    <row r="669" spans="9:16" x14ac:dyDescent="0.25">
      <c r="I669" s="7">
        <v>665</v>
      </c>
      <c r="J669" s="8">
        <v>0.9983314151346292</v>
      </c>
      <c r="K669" s="23">
        <v>0</v>
      </c>
      <c r="M669"/>
      <c r="N669"/>
      <c r="O669"/>
      <c r="P669"/>
    </row>
    <row r="670" spans="9:16" x14ac:dyDescent="0.25">
      <c r="I670" s="9">
        <v>666</v>
      </c>
      <c r="J670" s="10">
        <v>0.26839749283087144</v>
      </c>
      <c r="K670" s="23">
        <v>0</v>
      </c>
      <c r="M670"/>
      <c r="N670"/>
      <c r="O670"/>
      <c r="P670"/>
    </row>
    <row r="671" spans="9:16" x14ac:dyDescent="0.25">
      <c r="I671" s="7">
        <v>667</v>
      </c>
      <c r="J671" s="8">
        <v>30.401080301469619</v>
      </c>
      <c r="K671" s="23">
        <v>0</v>
      </c>
      <c r="M671"/>
      <c r="N671"/>
      <c r="O671"/>
      <c r="P671"/>
    </row>
    <row r="672" spans="9:16" x14ac:dyDescent="0.25">
      <c r="I672" s="9">
        <v>668</v>
      </c>
      <c r="J672" s="10">
        <v>-14.132689545919163</v>
      </c>
      <c r="K672" s="23">
        <v>0</v>
      </c>
      <c r="M672"/>
      <c r="N672"/>
      <c r="O672"/>
      <c r="P672"/>
    </row>
    <row r="673" spans="9:16" x14ac:dyDescent="0.25">
      <c r="I673" s="7">
        <v>669</v>
      </c>
      <c r="J673" s="8">
        <v>19.988164664190151</v>
      </c>
      <c r="K673" s="23">
        <v>0</v>
      </c>
      <c r="M673"/>
      <c r="N673"/>
      <c r="O673"/>
      <c r="P673"/>
    </row>
    <row r="674" spans="9:16" x14ac:dyDescent="0.25">
      <c r="I674" s="9">
        <v>670</v>
      </c>
      <c r="J674" s="10">
        <v>29.938007258268883</v>
      </c>
      <c r="K674" s="23">
        <v>0</v>
      </c>
      <c r="M674"/>
      <c r="N674"/>
      <c r="O674"/>
      <c r="P674"/>
    </row>
    <row r="675" spans="9:16" x14ac:dyDescent="0.25">
      <c r="I675" s="7">
        <v>671</v>
      </c>
      <c r="J675" s="8">
        <v>-8.7947198277404652</v>
      </c>
      <c r="K675" s="23">
        <v>0</v>
      </c>
      <c r="M675"/>
      <c r="N675"/>
      <c r="O675"/>
      <c r="P675"/>
    </row>
    <row r="676" spans="9:16" x14ac:dyDescent="0.25">
      <c r="I676" s="9">
        <v>672</v>
      </c>
      <c r="J676" s="10">
        <v>21.8201372469847</v>
      </c>
      <c r="K676" s="23">
        <v>0</v>
      </c>
      <c r="M676"/>
      <c r="N676"/>
      <c r="O676"/>
      <c r="P676"/>
    </row>
    <row r="677" spans="9:16" x14ac:dyDescent="0.25">
      <c r="I677" s="7">
        <v>673</v>
      </c>
      <c r="J677" s="8">
        <v>14.874599334824552</v>
      </c>
      <c r="K677" s="23">
        <v>0</v>
      </c>
      <c r="M677"/>
      <c r="N677"/>
      <c r="O677"/>
      <c r="P677"/>
    </row>
    <row r="678" spans="9:16" x14ac:dyDescent="0.25">
      <c r="I678" s="9">
        <v>674</v>
      </c>
      <c r="J678" s="10">
        <v>30.339285891201058</v>
      </c>
      <c r="K678" s="23">
        <v>0</v>
      </c>
      <c r="M678"/>
      <c r="N678"/>
      <c r="O678"/>
      <c r="P678"/>
    </row>
    <row r="679" spans="9:16" x14ac:dyDescent="0.25">
      <c r="I679" s="7">
        <v>675</v>
      </c>
      <c r="J679" s="8">
        <v>16.849647161490452</v>
      </c>
      <c r="K679" s="23">
        <v>0</v>
      </c>
      <c r="M679"/>
      <c r="N679"/>
      <c r="O679"/>
      <c r="P679"/>
    </row>
    <row r="680" spans="9:16" x14ac:dyDescent="0.25">
      <c r="I680" s="9">
        <v>676</v>
      </c>
      <c r="J680" s="10">
        <v>-10.916668861449494</v>
      </c>
      <c r="K680" s="23">
        <v>0</v>
      </c>
      <c r="M680"/>
      <c r="N680"/>
      <c r="O680"/>
      <c r="P680"/>
    </row>
    <row r="681" spans="9:16" x14ac:dyDescent="0.25">
      <c r="I681" s="7">
        <v>677</v>
      </c>
      <c r="J681" s="8">
        <v>1.904724167167501</v>
      </c>
      <c r="K681" s="23">
        <v>0</v>
      </c>
      <c r="M681"/>
      <c r="N681"/>
      <c r="O681"/>
      <c r="P681"/>
    </row>
    <row r="682" spans="9:16" x14ac:dyDescent="0.25">
      <c r="I682" s="9">
        <v>678</v>
      </c>
      <c r="J682" s="10">
        <v>4.7278901314992368</v>
      </c>
      <c r="K682" s="23">
        <v>0</v>
      </c>
      <c r="M682"/>
      <c r="N682"/>
      <c r="O682"/>
      <c r="P682"/>
    </row>
    <row r="683" spans="9:16" x14ac:dyDescent="0.25">
      <c r="I683" s="7">
        <v>679</v>
      </c>
      <c r="J683" s="8">
        <v>5.5494480623440978</v>
      </c>
      <c r="K683" s="23">
        <v>0</v>
      </c>
      <c r="M683"/>
      <c r="N683"/>
      <c r="O683"/>
      <c r="P683"/>
    </row>
    <row r="684" spans="9:16" x14ac:dyDescent="0.25">
      <c r="I684" s="9">
        <v>680</v>
      </c>
      <c r="J684" s="10">
        <v>39.888892167742014</v>
      </c>
      <c r="K684" s="23">
        <v>0</v>
      </c>
      <c r="M684"/>
      <c r="N684"/>
      <c r="O684"/>
      <c r="P684"/>
    </row>
    <row r="685" spans="9:16" x14ac:dyDescent="0.25">
      <c r="I685" s="7">
        <v>681</v>
      </c>
      <c r="J685" s="8">
        <v>23.70477637785288</v>
      </c>
      <c r="K685" s="23">
        <v>0</v>
      </c>
      <c r="M685"/>
      <c r="N685"/>
      <c r="O685"/>
      <c r="P685"/>
    </row>
    <row r="686" spans="9:16" x14ac:dyDescent="0.25">
      <c r="I686" s="9">
        <v>682</v>
      </c>
      <c r="J686" s="10">
        <v>19.096518781238416</v>
      </c>
      <c r="K686" s="23">
        <v>0</v>
      </c>
      <c r="M686"/>
      <c r="N686"/>
      <c r="O686"/>
      <c r="P686"/>
    </row>
    <row r="687" spans="9:16" x14ac:dyDescent="0.25">
      <c r="I687" s="7">
        <v>683</v>
      </c>
      <c r="J687" s="8">
        <v>13.87360594060965</v>
      </c>
      <c r="K687" s="23">
        <v>0</v>
      </c>
      <c r="M687"/>
      <c r="N687"/>
      <c r="O687"/>
      <c r="P687"/>
    </row>
    <row r="688" spans="9:16" x14ac:dyDescent="0.25">
      <c r="I688" s="9">
        <v>684</v>
      </c>
      <c r="J688" s="10">
        <v>2.9624742846321936</v>
      </c>
      <c r="K688" s="23">
        <v>0</v>
      </c>
      <c r="M688"/>
      <c r="N688"/>
      <c r="O688"/>
      <c r="P688"/>
    </row>
    <row r="689" spans="9:16" x14ac:dyDescent="0.25">
      <c r="I689" s="7">
        <v>685</v>
      </c>
      <c r="J689" s="8">
        <v>8.6365291233672963</v>
      </c>
      <c r="K689" s="23">
        <v>0</v>
      </c>
      <c r="M689"/>
      <c r="N689"/>
      <c r="O689"/>
      <c r="P689"/>
    </row>
    <row r="690" spans="9:16" x14ac:dyDescent="0.25">
      <c r="I690" s="9">
        <v>686</v>
      </c>
      <c r="J690" s="10">
        <v>2.4063483223424385</v>
      </c>
      <c r="K690" s="23">
        <v>0</v>
      </c>
      <c r="M690"/>
      <c r="N690"/>
      <c r="O690"/>
      <c r="P690"/>
    </row>
    <row r="691" spans="9:16" x14ac:dyDescent="0.25">
      <c r="I691" s="7">
        <v>687</v>
      </c>
      <c r="J691" s="8">
        <v>-1.0085880680483683</v>
      </c>
      <c r="K691" s="23">
        <v>0</v>
      </c>
      <c r="M691"/>
      <c r="N691"/>
      <c r="O691"/>
      <c r="P691"/>
    </row>
    <row r="692" spans="9:16" x14ac:dyDescent="0.25">
      <c r="I692" s="9">
        <v>688</v>
      </c>
      <c r="J692" s="10">
        <v>-11.581609064645789</v>
      </c>
      <c r="K692" s="23">
        <v>0</v>
      </c>
      <c r="M692"/>
      <c r="N692"/>
      <c r="O692"/>
      <c r="P692"/>
    </row>
    <row r="693" spans="9:16" x14ac:dyDescent="0.25">
      <c r="I693" s="7">
        <v>689</v>
      </c>
      <c r="J693" s="8">
        <v>12.419150246519123</v>
      </c>
      <c r="K693" s="23">
        <v>0</v>
      </c>
      <c r="M693"/>
      <c r="N693"/>
      <c r="O693"/>
      <c r="P693"/>
    </row>
    <row r="694" spans="9:16" x14ac:dyDescent="0.25">
      <c r="I694" s="9">
        <v>690</v>
      </c>
      <c r="J694" s="10">
        <v>-0.43789759141188256</v>
      </c>
      <c r="K694" s="23">
        <v>0</v>
      </c>
      <c r="M694"/>
      <c r="N694"/>
      <c r="O694"/>
      <c r="P694"/>
    </row>
    <row r="695" spans="9:16" x14ac:dyDescent="0.25">
      <c r="I695" s="7">
        <v>691</v>
      </c>
      <c r="J695" s="8">
        <v>30.025001028948225</v>
      </c>
      <c r="K695" s="23">
        <v>0</v>
      </c>
      <c r="M695"/>
      <c r="N695"/>
      <c r="O695"/>
      <c r="P695"/>
    </row>
    <row r="696" spans="9:16" x14ac:dyDescent="0.25">
      <c r="I696" s="9">
        <v>692</v>
      </c>
      <c r="J696" s="10">
        <v>19.343784011005013</v>
      </c>
      <c r="K696" s="23">
        <v>0</v>
      </c>
      <c r="M696"/>
      <c r="N696"/>
      <c r="O696"/>
      <c r="P696"/>
    </row>
    <row r="697" spans="9:16" x14ac:dyDescent="0.25">
      <c r="I697" s="7">
        <v>693</v>
      </c>
      <c r="J697" s="8">
        <v>30.884606095941507</v>
      </c>
      <c r="K697" s="23">
        <v>0</v>
      </c>
      <c r="M697"/>
      <c r="N697"/>
      <c r="O697"/>
      <c r="P697"/>
    </row>
    <row r="698" spans="9:16" x14ac:dyDescent="0.25">
      <c r="I698" s="9">
        <v>694</v>
      </c>
      <c r="J698" s="10">
        <v>11.072836549646183</v>
      </c>
      <c r="K698" s="23">
        <v>0</v>
      </c>
      <c r="M698"/>
      <c r="N698"/>
      <c r="O698"/>
      <c r="P698"/>
    </row>
    <row r="699" spans="9:16" x14ac:dyDescent="0.25">
      <c r="I699" s="7">
        <v>695</v>
      </c>
      <c r="J699" s="8">
        <v>32.037781071734145</v>
      </c>
      <c r="K699" s="23">
        <v>0</v>
      </c>
      <c r="M699"/>
      <c r="N699"/>
      <c r="O699"/>
      <c r="P699"/>
    </row>
    <row r="700" spans="9:16" x14ac:dyDescent="0.25">
      <c r="I700" s="9">
        <v>696</v>
      </c>
      <c r="J700" s="10">
        <v>-11.927980024259739</v>
      </c>
      <c r="K700" s="23">
        <v>0</v>
      </c>
      <c r="M700"/>
      <c r="N700"/>
      <c r="O700"/>
      <c r="P700"/>
    </row>
    <row r="701" spans="9:16" x14ac:dyDescent="0.25">
      <c r="I701" s="7">
        <v>697</v>
      </c>
      <c r="J701" s="8">
        <v>13.43277172910426</v>
      </c>
      <c r="K701" s="23">
        <v>0</v>
      </c>
      <c r="M701"/>
      <c r="N701"/>
      <c r="O701"/>
      <c r="P701"/>
    </row>
    <row r="702" spans="9:16" x14ac:dyDescent="0.25">
      <c r="I702" s="9">
        <v>698</v>
      </c>
      <c r="J702" s="10">
        <v>38.960544388893624</v>
      </c>
      <c r="K702" s="23">
        <v>0</v>
      </c>
      <c r="M702"/>
      <c r="N702"/>
      <c r="O702"/>
      <c r="P702"/>
    </row>
    <row r="703" spans="9:16" x14ac:dyDescent="0.25">
      <c r="I703" s="7">
        <v>699</v>
      </c>
      <c r="J703" s="8">
        <v>43.103165746774465</v>
      </c>
      <c r="K703" s="23">
        <v>0</v>
      </c>
      <c r="M703"/>
      <c r="N703"/>
      <c r="O703"/>
      <c r="P703"/>
    </row>
    <row r="704" spans="9:16" x14ac:dyDescent="0.25">
      <c r="I704" s="9">
        <v>700</v>
      </c>
      <c r="J704" s="10">
        <v>24.078105273055641</v>
      </c>
      <c r="K704" s="23">
        <v>0</v>
      </c>
      <c r="M704"/>
      <c r="N704"/>
      <c r="O704"/>
      <c r="P704"/>
    </row>
    <row r="705" spans="9:16" x14ac:dyDescent="0.25">
      <c r="I705" s="7">
        <v>701</v>
      </c>
      <c r="J705" s="8">
        <v>50.637241495720488</v>
      </c>
      <c r="K705" s="23">
        <v>0</v>
      </c>
      <c r="M705"/>
      <c r="N705"/>
      <c r="O705"/>
      <c r="P705"/>
    </row>
    <row r="706" spans="9:16" x14ac:dyDescent="0.25">
      <c r="I706" s="9">
        <v>702</v>
      </c>
      <c r="J706" s="10">
        <v>-6.5798582408540653</v>
      </c>
      <c r="K706" s="23">
        <v>0</v>
      </c>
      <c r="M706"/>
      <c r="N706"/>
      <c r="O706"/>
      <c r="P706"/>
    </row>
    <row r="707" spans="9:16" x14ac:dyDescent="0.25">
      <c r="I707" s="7">
        <v>703</v>
      </c>
      <c r="J707" s="8">
        <v>24.324612177969314</v>
      </c>
      <c r="K707" s="23">
        <v>0</v>
      </c>
      <c r="M707"/>
      <c r="N707"/>
      <c r="O707"/>
      <c r="P707"/>
    </row>
    <row r="708" spans="9:16" x14ac:dyDescent="0.25">
      <c r="I708" s="9">
        <v>704</v>
      </c>
      <c r="J708" s="10">
        <v>-4.1323204933550954</v>
      </c>
      <c r="K708" s="23">
        <v>0</v>
      </c>
      <c r="M708"/>
      <c r="N708"/>
      <c r="O708"/>
      <c r="P708"/>
    </row>
    <row r="709" spans="9:16" x14ac:dyDescent="0.25">
      <c r="I709" s="7">
        <v>705</v>
      </c>
      <c r="J709" s="8">
        <v>30.675303137390131</v>
      </c>
      <c r="K709" s="23">
        <v>0</v>
      </c>
      <c r="M709"/>
      <c r="N709"/>
      <c r="O709"/>
      <c r="P709"/>
    </row>
    <row r="710" spans="9:16" x14ac:dyDescent="0.25">
      <c r="I710" s="9">
        <v>706</v>
      </c>
      <c r="J710" s="10">
        <v>11.551845821535721</v>
      </c>
      <c r="K710" s="23">
        <v>0</v>
      </c>
      <c r="M710"/>
      <c r="N710"/>
      <c r="O710"/>
      <c r="P710"/>
    </row>
    <row r="711" spans="9:16" x14ac:dyDescent="0.25">
      <c r="I711" s="7">
        <v>707</v>
      </c>
      <c r="J711" s="8">
        <v>10.534661281080389</v>
      </c>
      <c r="K711" s="23">
        <v>0</v>
      </c>
      <c r="M711"/>
      <c r="N711"/>
      <c r="O711"/>
      <c r="P711"/>
    </row>
    <row r="712" spans="9:16" x14ac:dyDescent="0.25">
      <c r="I712" s="9">
        <v>708</v>
      </c>
      <c r="J712" s="10">
        <v>10.134286201633472</v>
      </c>
      <c r="K712" s="23">
        <v>0</v>
      </c>
      <c r="M712"/>
      <c r="N712"/>
      <c r="O712"/>
      <c r="P712"/>
    </row>
    <row r="713" spans="9:16" x14ac:dyDescent="0.25">
      <c r="I713" s="7">
        <v>709</v>
      </c>
      <c r="J713" s="8">
        <v>19.798831193225169</v>
      </c>
      <c r="K713" s="23">
        <v>0</v>
      </c>
      <c r="M713"/>
      <c r="N713"/>
      <c r="O713"/>
      <c r="P713"/>
    </row>
    <row r="714" spans="9:16" x14ac:dyDescent="0.25">
      <c r="I714" s="9">
        <v>710</v>
      </c>
      <c r="J714" s="10">
        <v>17.745437969484513</v>
      </c>
      <c r="K714" s="23">
        <v>0</v>
      </c>
      <c r="M714"/>
      <c r="N714"/>
      <c r="O714"/>
      <c r="P714"/>
    </row>
    <row r="715" spans="9:16" x14ac:dyDescent="0.25">
      <c r="I715" s="7">
        <v>711</v>
      </c>
      <c r="J715" s="8">
        <v>8.5848091061913863</v>
      </c>
      <c r="K715" s="23">
        <v>0</v>
      </c>
      <c r="M715"/>
      <c r="N715"/>
      <c r="O715"/>
      <c r="P715"/>
    </row>
    <row r="716" spans="9:16" x14ac:dyDescent="0.25">
      <c r="I716" s="9">
        <v>712</v>
      </c>
      <c r="J716" s="10">
        <v>-2.309333250311667</v>
      </c>
      <c r="K716" s="23">
        <v>0</v>
      </c>
      <c r="M716"/>
      <c r="N716"/>
      <c r="O716"/>
      <c r="P716"/>
    </row>
    <row r="717" spans="9:16" x14ac:dyDescent="0.25">
      <c r="I717" s="7">
        <v>713</v>
      </c>
      <c r="J717" s="8">
        <v>-5.4104552070838849</v>
      </c>
      <c r="K717" s="23">
        <v>0</v>
      </c>
      <c r="M717"/>
      <c r="N717"/>
      <c r="O717"/>
      <c r="P717"/>
    </row>
    <row r="718" spans="9:16" x14ac:dyDescent="0.25">
      <c r="I718" s="9">
        <v>714</v>
      </c>
      <c r="J718" s="10">
        <v>12.898355615023547</v>
      </c>
      <c r="K718" s="23">
        <v>0</v>
      </c>
      <c r="M718"/>
      <c r="N718"/>
      <c r="O718"/>
      <c r="P718"/>
    </row>
    <row r="719" spans="9:16" x14ac:dyDescent="0.25">
      <c r="I719" s="7">
        <v>715</v>
      </c>
      <c r="J719" s="8">
        <v>7.169442308507513</v>
      </c>
      <c r="K719" s="23">
        <v>0</v>
      </c>
      <c r="M719"/>
      <c r="N719"/>
      <c r="O719"/>
      <c r="P719"/>
    </row>
    <row r="720" spans="9:16" x14ac:dyDescent="0.25">
      <c r="I720" s="9">
        <v>716</v>
      </c>
      <c r="J720" s="10">
        <v>7.4912728344228583</v>
      </c>
      <c r="K720" s="23">
        <v>0</v>
      </c>
      <c r="M720"/>
      <c r="N720"/>
      <c r="O720"/>
      <c r="P720"/>
    </row>
    <row r="721" spans="9:16" x14ac:dyDescent="0.25">
      <c r="I721" s="7">
        <v>717</v>
      </c>
      <c r="J721" s="8">
        <v>0.93115608143148165</v>
      </c>
      <c r="K721" s="23">
        <v>0</v>
      </c>
      <c r="M721"/>
      <c r="N721"/>
      <c r="O721"/>
      <c r="P721"/>
    </row>
    <row r="722" spans="9:16" x14ac:dyDescent="0.25">
      <c r="I722" s="9">
        <v>718</v>
      </c>
      <c r="J722" s="10">
        <v>20.938629268390997</v>
      </c>
      <c r="K722" s="23">
        <v>0</v>
      </c>
      <c r="M722"/>
      <c r="N722"/>
      <c r="O722"/>
      <c r="P722"/>
    </row>
    <row r="723" spans="9:16" x14ac:dyDescent="0.25">
      <c r="I723" s="7">
        <v>719</v>
      </c>
      <c r="J723" s="8">
        <v>20.752764611313935</v>
      </c>
      <c r="K723" s="23">
        <v>0</v>
      </c>
      <c r="M723"/>
      <c r="N723"/>
      <c r="O723"/>
      <c r="P723"/>
    </row>
    <row r="724" spans="9:16" x14ac:dyDescent="0.25">
      <c r="I724" s="9">
        <v>720</v>
      </c>
      <c r="J724" s="10">
        <v>-32.930303446459135</v>
      </c>
      <c r="K724" s="23">
        <v>0</v>
      </c>
      <c r="M724"/>
      <c r="N724"/>
      <c r="O724"/>
      <c r="P724"/>
    </row>
    <row r="725" spans="9:16" x14ac:dyDescent="0.25">
      <c r="I725" s="7">
        <v>721</v>
      </c>
      <c r="J725" s="8">
        <v>12.839536771958819</v>
      </c>
      <c r="K725" s="23">
        <v>0</v>
      </c>
      <c r="M725"/>
      <c r="N725"/>
      <c r="O725"/>
      <c r="P725"/>
    </row>
    <row r="726" spans="9:16" x14ac:dyDescent="0.25">
      <c r="I726" s="9">
        <v>722</v>
      </c>
      <c r="J726" s="10">
        <v>16.596755292410307</v>
      </c>
      <c r="K726" s="23">
        <v>0</v>
      </c>
      <c r="M726"/>
      <c r="N726"/>
      <c r="O726"/>
      <c r="P726"/>
    </row>
    <row r="727" spans="9:16" x14ac:dyDescent="0.25">
      <c r="I727" s="7">
        <v>723</v>
      </c>
      <c r="J727" s="8">
        <v>24.070397073054039</v>
      </c>
      <c r="K727" s="23">
        <v>0</v>
      </c>
      <c r="M727"/>
      <c r="N727"/>
      <c r="O727"/>
      <c r="P727"/>
    </row>
    <row r="728" spans="9:16" x14ac:dyDescent="0.25">
      <c r="I728" s="9">
        <v>724</v>
      </c>
      <c r="J728" s="10">
        <v>12.021633131388256</v>
      </c>
      <c r="K728" s="23">
        <v>0</v>
      </c>
      <c r="M728"/>
      <c r="N728"/>
      <c r="O728"/>
      <c r="P728"/>
    </row>
    <row r="729" spans="9:16" x14ac:dyDescent="0.25">
      <c r="I729" s="7">
        <v>725</v>
      </c>
      <c r="J729" s="8">
        <v>-15.547357029831346</v>
      </c>
      <c r="K729" s="23">
        <v>0</v>
      </c>
      <c r="M729"/>
      <c r="N729"/>
      <c r="O729"/>
      <c r="P729"/>
    </row>
    <row r="730" spans="9:16" x14ac:dyDescent="0.25">
      <c r="I730" s="9">
        <v>726</v>
      </c>
      <c r="J730" s="10">
        <v>7.3187789770498171</v>
      </c>
      <c r="K730" s="23">
        <v>0</v>
      </c>
      <c r="M730"/>
      <c r="N730"/>
      <c r="O730"/>
      <c r="P730"/>
    </row>
    <row r="731" spans="9:16" x14ac:dyDescent="0.25">
      <c r="I731" s="7">
        <v>727</v>
      </c>
      <c r="J731" s="8">
        <v>6.3310651537684777</v>
      </c>
      <c r="K731" s="23">
        <v>0</v>
      </c>
      <c r="M731"/>
      <c r="N731"/>
      <c r="O731"/>
      <c r="P731"/>
    </row>
    <row r="732" spans="9:16" x14ac:dyDescent="0.25">
      <c r="I732" s="9">
        <v>728</v>
      </c>
      <c r="J732" s="10">
        <v>12.119880749952856</v>
      </c>
      <c r="K732" s="23">
        <v>0</v>
      </c>
      <c r="M732"/>
      <c r="N732"/>
      <c r="O732"/>
      <c r="P732"/>
    </row>
    <row r="733" spans="9:16" x14ac:dyDescent="0.25">
      <c r="I733" s="7">
        <v>729</v>
      </c>
      <c r="J733" s="8">
        <v>26.750632655122217</v>
      </c>
      <c r="K733" s="23">
        <v>0</v>
      </c>
      <c r="M733"/>
      <c r="N733"/>
      <c r="O733"/>
      <c r="P733"/>
    </row>
    <row r="734" spans="9:16" x14ac:dyDescent="0.25">
      <c r="I734" s="9">
        <v>730</v>
      </c>
      <c r="J734" s="10">
        <v>10.094969835319603</v>
      </c>
      <c r="K734" s="23">
        <v>0</v>
      </c>
      <c r="M734"/>
      <c r="N734"/>
      <c r="O734"/>
      <c r="P734"/>
    </row>
    <row r="735" spans="9:16" x14ac:dyDescent="0.25">
      <c r="I735" s="7">
        <v>731</v>
      </c>
      <c r="J735" s="8">
        <v>-11.477560750213954</v>
      </c>
      <c r="K735" s="23">
        <v>0</v>
      </c>
      <c r="M735"/>
      <c r="N735"/>
      <c r="O735"/>
      <c r="P735"/>
    </row>
    <row r="736" spans="9:16" x14ac:dyDescent="0.25">
      <c r="I736" s="9">
        <v>732</v>
      </c>
      <c r="J736" s="10">
        <v>21.826773940802738</v>
      </c>
      <c r="K736" s="23">
        <v>0</v>
      </c>
      <c r="M736"/>
      <c r="N736"/>
      <c r="O736"/>
      <c r="P736"/>
    </row>
    <row r="737" spans="9:16" x14ac:dyDescent="0.25">
      <c r="I737" s="7">
        <v>733</v>
      </c>
      <c r="J737" s="8">
        <v>22.743216429561386</v>
      </c>
      <c r="K737" s="23">
        <v>0</v>
      </c>
      <c r="M737"/>
      <c r="N737"/>
      <c r="O737"/>
      <c r="P737"/>
    </row>
    <row r="738" spans="9:16" x14ac:dyDescent="0.25">
      <c r="I738" s="9">
        <v>734</v>
      </c>
      <c r="J738" s="10">
        <v>7.3529509288888732</v>
      </c>
      <c r="K738" s="23">
        <v>0</v>
      </c>
      <c r="M738"/>
      <c r="N738"/>
      <c r="O738"/>
      <c r="P738"/>
    </row>
    <row r="739" spans="9:16" x14ac:dyDescent="0.25">
      <c r="I739" s="7">
        <v>735</v>
      </c>
      <c r="J739" s="8">
        <v>31.223515131216686</v>
      </c>
      <c r="K739" s="23">
        <v>0</v>
      </c>
      <c r="M739"/>
      <c r="N739"/>
      <c r="O739"/>
      <c r="P739"/>
    </row>
    <row r="740" spans="9:16" x14ac:dyDescent="0.25">
      <c r="I740" s="9">
        <v>736</v>
      </c>
      <c r="J740" s="10">
        <v>-2.5146098080394665</v>
      </c>
      <c r="K740" s="23">
        <v>0</v>
      </c>
      <c r="M740"/>
      <c r="N740"/>
      <c r="O740"/>
      <c r="P740"/>
    </row>
    <row r="741" spans="9:16" x14ac:dyDescent="0.25">
      <c r="I741" s="7">
        <v>737</v>
      </c>
      <c r="J741" s="8">
        <v>5.2874540218397215</v>
      </c>
      <c r="K741" s="23">
        <v>0</v>
      </c>
      <c r="M741"/>
      <c r="N741"/>
      <c r="O741"/>
      <c r="P741"/>
    </row>
    <row r="742" spans="9:16" x14ac:dyDescent="0.25">
      <c r="I742" s="9">
        <v>738</v>
      </c>
      <c r="J742" s="10">
        <v>19.889113226965208</v>
      </c>
      <c r="K742" s="23">
        <v>0</v>
      </c>
      <c r="M742"/>
      <c r="N742"/>
      <c r="O742"/>
      <c r="P742"/>
    </row>
    <row r="743" spans="9:16" x14ac:dyDescent="0.25">
      <c r="I743" s="7">
        <v>739</v>
      </c>
      <c r="J743" s="8">
        <v>12.373045148660651</v>
      </c>
      <c r="K743" s="23">
        <v>0</v>
      </c>
      <c r="M743"/>
      <c r="N743"/>
      <c r="O743"/>
      <c r="P743"/>
    </row>
    <row r="744" spans="9:16" x14ac:dyDescent="0.25">
      <c r="I744" s="9">
        <v>740</v>
      </c>
      <c r="J744" s="10">
        <v>22.696930700723627</v>
      </c>
      <c r="K744" s="23">
        <v>0</v>
      </c>
      <c r="M744"/>
      <c r="N744"/>
      <c r="O744"/>
      <c r="P744"/>
    </row>
    <row r="745" spans="9:16" x14ac:dyDescent="0.25">
      <c r="I745" s="7">
        <v>741</v>
      </c>
      <c r="J745" s="8">
        <v>6.278570958296001</v>
      </c>
      <c r="K745" s="23">
        <v>0</v>
      </c>
      <c r="M745"/>
      <c r="N745"/>
      <c r="O745"/>
      <c r="P745"/>
    </row>
    <row r="746" spans="9:16" x14ac:dyDescent="0.25">
      <c r="I746" s="9">
        <v>742</v>
      </c>
      <c r="J746" s="10">
        <v>0.50358499141712798</v>
      </c>
      <c r="K746" s="23">
        <v>0</v>
      </c>
      <c r="M746"/>
      <c r="N746"/>
      <c r="O746"/>
      <c r="P746"/>
    </row>
    <row r="747" spans="9:16" x14ac:dyDescent="0.25">
      <c r="I747" s="7">
        <v>743</v>
      </c>
      <c r="J747" s="8">
        <v>26.744491751117579</v>
      </c>
      <c r="K747" s="23">
        <v>0</v>
      </c>
      <c r="M747"/>
      <c r="N747"/>
      <c r="O747"/>
      <c r="P747"/>
    </row>
    <row r="748" spans="9:16" x14ac:dyDescent="0.25">
      <c r="I748" s="9">
        <v>744</v>
      </c>
      <c r="J748" s="10">
        <v>8.4888723512818274</v>
      </c>
      <c r="K748" s="23">
        <v>0</v>
      </c>
      <c r="M748"/>
      <c r="N748"/>
      <c r="O748"/>
      <c r="P748"/>
    </row>
    <row r="749" spans="9:16" x14ac:dyDescent="0.25">
      <c r="I749" s="7">
        <v>745</v>
      </c>
      <c r="J749" s="8">
        <v>15.807664367282882</v>
      </c>
      <c r="K749" s="23">
        <v>0</v>
      </c>
      <c r="M749"/>
      <c r="N749"/>
      <c r="O749"/>
      <c r="P749"/>
    </row>
    <row r="750" spans="9:16" x14ac:dyDescent="0.25">
      <c r="I750" s="9">
        <v>746</v>
      </c>
      <c r="J750" s="10">
        <v>-15.436708301286728</v>
      </c>
      <c r="K750" s="23">
        <v>0</v>
      </c>
      <c r="M750"/>
      <c r="N750"/>
      <c r="O750"/>
      <c r="P750"/>
    </row>
    <row r="751" spans="9:16" x14ac:dyDescent="0.25">
      <c r="I751" s="7">
        <v>747</v>
      </c>
      <c r="J751" s="8">
        <v>41.998346086901165</v>
      </c>
      <c r="K751" s="23">
        <v>0</v>
      </c>
      <c r="M751"/>
      <c r="N751"/>
      <c r="O751"/>
      <c r="P751"/>
    </row>
    <row r="752" spans="9:16" x14ac:dyDescent="0.25">
      <c r="I752" s="9">
        <v>748</v>
      </c>
      <c r="J752" s="10">
        <v>8.7329101317354656</v>
      </c>
      <c r="K752" s="23">
        <v>0</v>
      </c>
      <c r="M752"/>
      <c r="N752"/>
      <c r="O752"/>
      <c r="P752"/>
    </row>
    <row r="753" spans="9:16" x14ac:dyDescent="0.25">
      <c r="I753" s="7">
        <v>749</v>
      </c>
      <c r="J753" s="8">
        <v>3.1801333434975732</v>
      </c>
      <c r="K753" s="23">
        <v>0</v>
      </c>
      <c r="M753"/>
      <c r="N753"/>
      <c r="O753"/>
      <c r="P753"/>
    </row>
    <row r="754" spans="9:16" x14ac:dyDescent="0.25">
      <c r="I754" s="9">
        <v>750</v>
      </c>
      <c r="J754" s="10">
        <v>45.755221044284951</v>
      </c>
      <c r="K754" s="23">
        <v>0</v>
      </c>
      <c r="M754"/>
      <c r="N754"/>
      <c r="O754"/>
      <c r="P754"/>
    </row>
    <row r="755" spans="9:16" x14ac:dyDescent="0.25">
      <c r="I755" s="7">
        <v>751</v>
      </c>
      <c r="J755" s="8">
        <v>-6.9361380273884237</v>
      </c>
      <c r="K755" s="23">
        <v>0</v>
      </c>
      <c r="M755"/>
      <c r="N755"/>
      <c r="O755"/>
      <c r="P755"/>
    </row>
    <row r="756" spans="9:16" x14ac:dyDescent="0.25">
      <c r="I756" s="9">
        <v>752</v>
      </c>
      <c r="J756" s="10">
        <v>-11.371387259260061</v>
      </c>
      <c r="K756" s="23">
        <v>0</v>
      </c>
      <c r="M756"/>
      <c r="N756"/>
      <c r="O756"/>
      <c r="P756"/>
    </row>
    <row r="757" spans="9:16" x14ac:dyDescent="0.25">
      <c r="I757" s="7">
        <v>753</v>
      </c>
      <c r="J757" s="8">
        <v>9.4651385246777977</v>
      </c>
      <c r="K757" s="23">
        <v>0</v>
      </c>
      <c r="M757"/>
      <c r="N757"/>
      <c r="O757"/>
      <c r="P757"/>
    </row>
    <row r="758" spans="9:16" x14ac:dyDescent="0.25">
      <c r="I758" s="9">
        <v>754</v>
      </c>
      <c r="J758" s="10">
        <v>-18.978198533720189</v>
      </c>
      <c r="K758" s="23">
        <v>0</v>
      </c>
      <c r="M758"/>
      <c r="N758"/>
      <c r="O758"/>
      <c r="P758"/>
    </row>
    <row r="759" spans="9:16" x14ac:dyDescent="0.25">
      <c r="I759" s="7">
        <v>755</v>
      </c>
      <c r="J759" s="8">
        <v>0.35709535644693347</v>
      </c>
      <c r="K759" s="23">
        <v>0</v>
      </c>
      <c r="M759"/>
      <c r="N759"/>
      <c r="O759"/>
      <c r="P759"/>
    </row>
    <row r="760" spans="9:16" x14ac:dyDescent="0.25">
      <c r="I760" s="9">
        <v>756</v>
      </c>
      <c r="J760" s="10">
        <v>9.366437134150857</v>
      </c>
      <c r="K760" s="23">
        <v>0</v>
      </c>
      <c r="M760"/>
      <c r="N760"/>
      <c r="O760"/>
      <c r="P760"/>
    </row>
    <row r="761" spans="9:16" x14ac:dyDescent="0.25">
      <c r="I761" s="7">
        <v>757</v>
      </c>
      <c r="J761" s="8">
        <v>9.5714042384567506</v>
      </c>
      <c r="K761" s="23">
        <v>0</v>
      </c>
      <c r="M761"/>
      <c r="N761"/>
      <c r="O761"/>
      <c r="P761"/>
    </row>
    <row r="762" spans="9:16" x14ac:dyDescent="0.25">
      <c r="I762" s="9">
        <v>758</v>
      </c>
      <c r="J762" s="10">
        <v>11.924060087157642</v>
      </c>
      <c r="K762" s="23">
        <v>0</v>
      </c>
      <c r="M762"/>
      <c r="N762"/>
      <c r="O762"/>
      <c r="P762"/>
    </row>
    <row r="763" spans="9:16" x14ac:dyDescent="0.25">
      <c r="I763" s="7">
        <v>759</v>
      </c>
      <c r="J763" s="8">
        <v>24.789408844994369</v>
      </c>
      <c r="K763" s="23">
        <v>0</v>
      </c>
      <c r="M763"/>
      <c r="N763"/>
      <c r="O763"/>
      <c r="P763"/>
    </row>
    <row r="764" spans="9:16" x14ac:dyDescent="0.25">
      <c r="I764" s="9">
        <v>760</v>
      </c>
      <c r="J764" s="10">
        <v>7.4810596485839653</v>
      </c>
      <c r="K764" s="23">
        <v>0</v>
      </c>
      <c r="M764"/>
      <c r="N764"/>
      <c r="O764"/>
      <c r="P764"/>
    </row>
    <row r="765" spans="9:16" x14ac:dyDescent="0.25">
      <c r="I765" s="7">
        <v>761</v>
      </c>
      <c r="J765" s="8">
        <v>13.631074067167162</v>
      </c>
      <c r="K765" s="23">
        <v>0</v>
      </c>
      <c r="M765"/>
      <c r="N765"/>
      <c r="O765"/>
      <c r="P765"/>
    </row>
    <row r="766" spans="9:16" x14ac:dyDescent="0.25">
      <c r="I766" s="9">
        <v>762</v>
      </c>
      <c r="J766" s="10">
        <v>29.52869561912334</v>
      </c>
      <c r="K766" s="23">
        <v>0</v>
      </c>
      <c r="M766"/>
      <c r="N766"/>
      <c r="O766"/>
      <c r="P766"/>
    </row>
    <row r="767" spans="9:16" x14ac:dyDescent="0.25">
      <c r="I767" s="7">
        <v>763</v>
      </c>
      <c r="J767" s="8">
        <v>-25.25747996502858</v>
      </c>
      <c r="K767" s="23">
        <v>0</v>
      </c>
      <c r="M767"/>
      <c r="N767"/>
      <c r="O767"/>
      <c r="P767"/>
    </row>
    <row r="768" spans="9:16" x14ac:dyDescent="0.25">
      <c r="I768" s="9">
        <v>764</v>
      </c>
      <c r="J768" s="10">
        <v>0.11145250936573348</v>
      </c>
      <c r="K768" s="23">
        <v>0</v>
      </c>
      <c r="M768"/>
      <c r="N768"/>
      <c r="O768"/>
      <c r="P768"/>
    </row>
    <row r="769" spans="9:16" x14ac:dyDescent="0.25">
      <c r="I769" s="7">
        <v>765</v>
      </c>
      <c r="J769" s="8">
        <v>5.645713513320672</v>
      </c>
      <c r="K769" s="23">
        <v>0</v>
      </c>
      <c r="M769"/>
      <c r="N769"/>
      <c r="O769"/>
      <c r="P769"/>
    </row>
    <row r="770" spans="9:16" x14ac:dyDescent="0.25">
      <c r="I770" s="9">
        <v>766</v>
      </c>
      <c r="J770" s="10">
        <v>-5.5305691558531294</v>
      </c>
      <c r="K770" s="23">
        <v>0</v>
      </c>
      <c r="M770"/>
      <c r="N770"/>
      <c r="O770"/>
      <c r="P770"/>
    </row>
    <row r="771" spans="9:16" x14ac:dyDescent="0.25">
      <c r="I771" s="7">
        <v>767</v>
      </c>
      <c r="J771" s="8">
        <v>-2.8617531479087575</v>
      </c>
      <c r="K771" s="23">
        <v>0</v>
      </c>
      <c r="M771"/>
      <c r="N771"/>
      <c r="O771"/>
      <c r="P771"/>
    </row>
    <row r="772" spans="9:16" x14ac:dyDescent="0.25">
      <c r="I772" s="9">
        <v>768</v>
      </c>
      <c r="J772" s="10">
        <v>-9.1109640662969582</v>
      </c>
      <c r="K772" s="23">
        <v>0</v>
      </c>
      <c r="M772"/>
      <c r="N772"/>
      <c r="O772"/>
      <c r="P772"/>
    </row>
    <row r="773" spans="9:16" x14ac:dyDescent="0.25">
      <c r="I773" s="7">
        <v>769</v>
      </c>
      <c r="J773" s="8">
        <v>8.839411650524795</v>
      </c>
      <c r="K773" s="23">
        <v>0</v>
      </c>
      <c r="M773"/>
      <c r="N773"/>
      <c r="O773"/>
      <c r="P773"/>
    </row>
    <row r="774" spans="9:16" x14ac:dyDescent="0.25">
      <c r="I774" s="9">
        <v>770</v>
      </c>
      <c r="J774" s="10">
        <v>15.409335446827555</v>
      </c>
      <c r="K774" s="23">
        <v>0</v>
      </c>
      <c r="M774"/>
      <c r="N774"/>
      <c r="O774"/>
      <c r="P774"/>
    </row>
    <row r="775" spans="9:16" x14ac:dyDescent="0.25">
      <c r="I775" s="7">
        <v>771</v>
      </c>
      <c r="J775" s="8">
        <v>21.628522862522686</v>
      </c>
      <c r="K775" s="23">
        <v>0</v>
      </c>
      <c r="M775"/>
      <c r="N775"/>
      <c r="O775"/>
      <c r="P775"/>
    </row>
    <row r="776" spans="9:16" x14ac:dyDescent="0.25">
      <c r="I776" s="9">
        <v>772</v>
      </c>
      <c r="J776" s="10">
        <v>15.01958089321792</v>
      </c>
      <c r="K776" s="23">
        <v>0</v>
      </c>
      <c r="M776"/>
      <c r="N776"/>
      <c r="O776"/>
      <c r="P776"/>
    </row>
    <row r="777" spans="9:16" x14ac:dyDescent="0.25">
      <c r="I777" s="7">
        <v>773</v>
      </c>
      <c r="J777" s="8">
        <v>-15.804970640506895</v>
      </c>
      <c r="K777" s="23">
        <v>0</v>
      </c>
      <c r="M777"/>
      <c r="N777"/>
      <c r="O777"/>
      <c r="P777"/>
    </row>
    <row r="778" spans="9:16" x14ac:dyDescent="0.25">
      <c r="I778" s="9">
        <v>774</v>
      </c>
      <c r="J778" s="10">
        <v>4.151551442421578</v>
      </c>
      <c r="K778" s="23">
        <v>0</v>
      </c>
      <c r="M778"/>
      <c r="N778"/>
      <c r="O778"/>
      <c r="P778"/>
    </row>
    <row r="779" spans="9:16" x14ac:dyDescent="0.25">
      <c r="I779" s="7">
        <v>775</v>
      </c>
      <c r="J779" s="8">
        <v>12.364636476749297</v>
      </c>
      <c r="K779" s="23">
        <v>0</v>
      </c>
      <c r="M779"/>
      <c r="N779"/>
      <c r="O779"/>
      <c r="P779"/>
    </row>
    <row r="780" spans="9:16" x14ac:dyDescent="0.25">
      <c r="I780" s="9">
        <v>776</v>
      </c>
      <c r="J780" s="10">
        <v>22.122361203977817</v>
      </c>
      <c r="K780" s="23">
        <v>0</v>
      </c>
      <c r="M780"/>
      <c r="N780"/>
      <c r="O780"/>
      <c r="P780"/>
    </row>
    <row r="781" spans="9:16" x14ac:dyDescent="0.25">
      <c r="I781" s="7">
        <v>777</v>
      </c>
      <c r="J781" s="8">
        <v>33.931073632646957</v>
      </c>
      <c r="K781" s="23">
        <v>0</v>
      </c>
      <c r="M781"/>
      <c r="N781"/>
      <c r="O781"/>
      <c r="P781"/>
    </row>
    <row r="782" spans="9:16" x14ac:dyDescent="0.25">
      <c r="I782" s="9">
        <v>778</v>
      </c>
      <c r="J782" s="10">
        <v>30.36080999522045</v>
      </c>
      <c r="K782" s="23">
        <v>0</v>
      </c>
      <c r="M782"/>
      <c r="N782"/>
      <c r="O782"/>
      <c r="P782"/>
    </row>
    <row r="783" spans="9:16" x14ac:dyDescent="0.25">
      <c r="I783" s="7">
        <v>779</v>
      </c>
      <c r="J783" s="8">
        <v>-7.7712652092190524</v>
      </c>
      <c r="K783" s="23">
        <v>0</v>
      </c>
      <c r="M783"/>
      <c r="N783"/>
      <c r="O783"/>
      <c r="P783"/>
    </row>
    <row r="784" spans="9:16" x14ac:dyDescent="0.25">
      <c r="I784" s="9">
        <v>780</v>
      </c>
      <c r="J784" s="10">
        <v>29.780545355484691</v>
      </c>
      <c r="K784" s="23">
        <v>0</v>
      </c>
      <c r="M784"/>
      <c r="N784"/>
      <c r="O784"/>
      <c r="P784"/>
    </row>
    <row r="785" spans="9:16" x14ac:dyDescent="0.25">
      <c r="I785" s="7">
        <v>781</v>
      </c>
      <c r="J785" s="8">
        <v>21.216352509787754</v>
      </c>
      <c r="K785" s="23">
        <v>0</v>
      </c>
      <c r="M785"/>
      <c r="N785"/>
      <c r="O785"/>
      <c r="P785"/>
    </row>
    <row r="786" spans="9:16" x14ac:dyDescent="0.25">
      <c r="I786" s="9">
        <v>782</v>
      </c>
      <c r="J786" s="10">
        <v>20.873196194989475</v>
      </c>
      <c r="K786" s="23">
        <v>0</v>
      </c>
      <c r="M786"/>
      <c r="N786"/>
      <c r="O786"/>
      <c r="P786"/>
    </row>
    <row r="787" spans="9:16" x14ac:dyDescent="0.25">
      <c r="I787" s="7">
        <v>783</v>
      </c>
      <c r="J787" s="8">
        <v>7.803019371127931</v>
      </c>
      <c r="K787" s="23">
        <v>0</v>
      </c>
      <c r="M787"/>
      <c r="N787"/>
      <c r="O787"/>
      <c r="P787"/>
    </row>
    <row r="788" spans="9:16" x14ac:dyDescent="0.25">
      <c r="I788" s="9">
        <v>784</v>
      </c>
      <c r="J788" s="10">
        <v>5.293317620183501</v>
      </c>
      <c r="K788" s="23">
        <v>0</v>
      </c>
      <c r="M788"/>
      <c r="N788"/>
      <c r="O788"/>
      <c r="P788"/>
    </row>
    <row r="789" spans="9:16" x14ac:dyDescent="0.25">
      <c r="I789" s="7">
        <v>785</v>
      </c>
      <c r="J789" s="8">
        <v>-15.545632459409973</v>
      </c>
      <c r="K789" s="23">
        <v>0</v>
      </c>
      <c r="M789"/>
      <c r="N789"/>
      <c r="O789"/>
      <c r="P789"/>
    </row>
    <row r="790" spans="9:16" x14ac:dyDescent="0.25">
      <c r="I790" s="9">
        <v>786</v>
      </c>
      <c r="J790" s="10">
        <v>17.525393370732601</v>
      </c>
      <c r="K790" s="23">
        <v>0</v>
      </c>
      <c r="M790"/>
      <c r="N790"/>
      <c r="O790"/>
      <c r="P790"/>
    </row>
    <row r="791" spans="9:16" x14ac:dyDescent="0.25">
      <c r="I791" s="7">
        <v>787</v>
      </c>
      <c r="J791" s="8">
        <v>9.994234247962666</v>
      </c>
      <c r="K791" s="23">
        <v>0</v>
      </c>
      <c r="M791"/>
      <c r="N791"/>
      <c r="O791"/>
      <c r="P791"/>
    </row>
    <row r="792" spans="9:16" x14ac:dyDescent="0.25">
      <c r="I792" s="9">
        <v>788</v>
      </c>
      <c r="J792" s="10">
        <v>-21.57488457215581</v>
      </c>
      <c r="K792" s="23">
        <v>0</v>
      </c>
      <c r="M792"/>
      <c r="N792"/>
      <c r="O792"/>
      <c r="P792"/>
    </row>
    <row r="793" spans="9:16" x14ac:dyDescent="0.25">
      <c r="I793" s="7">
        <v>789</v>
      </c>
      <c r="J793" s="8">
        <v>28.009470811892285</v>
      </c>
      <c r="K793" s="23">
        <v>0</v>
      </c>
      <c r="M793"/>
      <c r="N793"/>
      <c r="O793"/>
      <c r="P793"/>
    </row>
    <row r="794" spans="9:16" x14ac:dyDescent="0.25">
      <c r="I794" s="9">
        <v>790</v>
      </c>
      <c r="J794" s="10">
        <v>-1.1113910338632706</v>
      </c>
      <c r="K794" s="23">
        <v>0</v>
      </c>
      <c r="M794"/>
      <c r="N794"/>
      <c r="O794"/>
      <c r="P794"/>
    </row>
    <row r="795" spans="9:16" x14ac:dyDescent="0.25">
      <c r="I795" s="7">
        <v>791</v>
      </c>
      <c r="J795" s="8">
        <v>36.910801576427616</v>
      </c>
      <c r="K795" s="23">
        <v>0</v>
      </c>
      <c r="M795"/>
      <c r="N795"/>
      <c r="O795"/>
      <c r="P795"/>
    </row>
    <row r="796" spans="9:16" x14ac:dyDescent="0.25">
      <c r="I796" s="9">
        <v>792</v>
      </c>
      <c r="J796" s="10">
        <v>25.087587183303327</v>
      </c>
      <c r="K796" s="23">
        <v>0</v>
      </c>
      <c r="M796"/>
      <c r="N796"/>
      <c r="O796"/>
      <c r="P796"/>
    </row>
    <row r="797" spans="9:16" x14ac:dyDescent="0.25">
      <c r="I797" s="7">
        <v>793</v>
      </c>
      <c r="J797" s="8">
        <v>18.467047344884406</v>
      </c>
      <c r="K797" s="23">
        <v>0</v>
      </c>
      <c r="M797"/>
      <c r="N797"/>
      <c r="O797"/>
      <c r="P797"/>
    </row>
    <row r="798" spans="9:16" x14ac:dyDescent="0.25">
      <c r="I798" s="9">
        <v>794</v>
      </c>
      <c r="J798" s="10">
        <v>39.862374075313639</v>
      </c>
      <c r="K798" s="23">
        <v>0</v>
      </c>
      <c r="M798"/>
      <c r="N798"/>
      <c r="O798"/>
      <c r="P798"/>
    </row>
    <row r="799" spans="9:16" x14ac:dyDescent="0.25">
      <c r="I799" s="7">
        <v>795</v>
      </c>
      <c r="J799" s="8">
        <v>34.238085209768457</v>
      </c>
      <c r="K799" s="23">
        <v>0</v>
      </c>
      <c r="M799"/>
      <c r="N799"/>
      <c r="O799"/>
      <c r="P799"/>
    </row>
    <row r="800" spans="9:16" x14ac:dyDescent="0.25">
      <c r="I800" s="9">
        <v>796</v>
      </c>
      <c r="J800" s="10">
        <v>27.348810629100583</v>
      </c>
      <c r="K800" s="23">
        <v>0</v>
      </c>
      <c r="M800"/>
      <c r="N800"/>
      <c r="O800"/>
      <c r="P800"/>
    </row>
    <row r="801" spans="9:16" x14ac:dyDescent="0.25">
      <c r="I801" s="7">
        <v>797</v>
      </c>
      <c r="J801" s="8">
        <v>14.241932167574987</v>
      </c>
      <c r="K801" s="23">
        <v>0</v>
      </c>
      <c r="M801"/>
      <c r="N801"/>
      <c r="O801"/>
      <c r="P801"/>
    </row>
    <row r="802" spans="9:16" x14ac:dyDescent="0.25">
      <c r="I802" s="9">
        <v>798</v>
      </c>
      <c r="J802" s="10">
        <v>51.025552806937256</v>
      </c>
      <c r="K802" s="23">
        <v>0</v>
      </c>
      <c r="M802"/>
      <c r="N802"/>
      <c r="O802"/>
      <c r="P802"/>
    </row>
    <row r="803" spans="9:16" x14ac:dyDescent="0.25">
      <c r="I803" s="7">
        <v>799</v>
      </c>
      <c r="J803" s="8">
        <v>-6.5037827088432607</v>
      </c>
      <c r="K803" s="23">
        <v>0</v>
      </c>
      <c r="M803"/>
      <c r="N803"/>
      <c r="O803"/>
      <c r="P803"/>
    </row>
    <row r="804" spans="9:16" x14ac:dyDescent="0.25">
      <c r="I804" s="9">
        <v>800</v>
      </c>
      <c r="J804" s="10">
        <v>32.266461567520935</v>
      </c>
      <c r="K804" s="23">
        <v>0</v>
      </c>
      <c r="M804"/>
      <c r="N804"/>
      <c r="O804"/>
      <c r="P804"/>
    </row>
    <row r="805" spans="9:16" x14ac:dyDescent="0.25">
      <c r="I805" s="7">
        <v>801</v>
      </c>
      <c r="J805" s="8">
        <v>8.2373645462716922</v>
      </c>
      <c r="K805" s="23">
        <v>0</v>
      </c>
      <c r="M805"/>
      <c r="N805"/>
      <c r="O805"/>
      <c r="P805"/>
    </row>
    <row r="806" spans="9:16" x14ac:dyDescent="0.25">
      <c r="I806" s="9">
        <v>802</v>
      </c>
      <c r="J806" s="10">
        <v>14.289981603146074</v>
      </c>
      <c r="K806" s="23">
        <v>0</v>
      </c>
      <c r="M806"/>
      <c r="N806"/>
      <c r="O806"/>
      <c r="P806"/>
    </row>
    <row r="807" spans="9:16" x14ac:dyDescent="0.25">
      <c r="I807" s="7">
        <v>803</v>
      </c>
      <c r="J807" s="8">
        <v>42.151740178270018</v>
      </c>
      <c r="K807" s="23">
        <v>0</v>
      </c>
      <c r="M807"/>
      <c r="N807"/>
      <c r="O807"/>
      <c r="P807"/>
    </row>
    <row r="808" spans="9:16" x14ac:dyDescent="0.25">
      <c r="I808" s="9">
        <v>804</v>
      </c>
      <c r="J808" s="10">
        <v>18.393951798228642</v>
      </c>
      <c r="K808" s="23">
        <v>0</v>
      </c>
      <c r="M808"/>
      <c r="N808"/>
      <c r="O808"/>
      <c r="P808"/>
    </row>
    <row r="809" spans="9:16" x14ac:dyDescent="0.25">
      <c r="I809" s="7">
        <v>805</v>
      </c>
      <c r="J809" s="8">
        <v>-2.6077345163483017</v>
      </c>
      <c r="K809" s="23">
        <v>0</v>
      </c>
      <c r="M809"/>
      <c r="N809"/>
      <c r="O809"/>
      <c r="P809"/>
    </row>
    <row r="810" spans="9:16" x14ac:dyDescent="0.25">
      <c r="I810" s="9">
        <v>806</v>
      </c>
      <c r="J810" s="10">
        <v>-2.0133634797510069</v>
      </c>
      <c r="K810" s="23">
        <v>0</v>
      </c>
      <c r="M810"/>
      <c r="N810"/>
      <c r="O810"/>
      <c r="P810"/>
    </row>
    <row r="811" spans="9:16" x14ac:dyDescent="0.25">
      <c r="I811" s="7">
        <v>807</v>
      </c>
      <c r="J811" s="8">
        <v>-2.4241596942638068</v>
      </c>
      <c r="K811" s="23">
        <v>0</v>
      </c>
      <c r="M811"/>
      <c r="N811"/>
      <c r="O811"/>
      <c r="P811"/>
    </row>
    <row r="812" spans="9:16" x14ac:dyDescent="0.25">
      <c r="I812" s="9">
        <v>808</v>
      </c>
      <c r="J812" s="10">
        <v>15.71094605824419</v>
      </c>
      <c r="K812" s="23">
        <v>0</v>
      </c>
      <c r="M812"/>
      <c r="N812"/>
      <c r="O812"/>
      <c r="P812"/>
    </row>
    <row r="813" spans="9:16" x14ac:dyDescent="0.25">
      <c r="I813" s="7">
        <v>809</v>
      </c>
      <c r="J813" s="8">
        <v>8.34936389311639</v>
      </c>
      <c r="K813" s="23">
        <v>0</v>
      </c>
      <c r="M813"/>
      <c r="N813"/>
      <c r="O813"/>
      <c r="P813"/>
    </row>
    <row r="814" spans="9:16" x14ac:dyDescent="0.25">
      <c r="I814" s="9">
        <v>810</v>
      </c>
      <c r="J814" s="10">
        <v>-10.025743182174551</v>
      </c>
      <c r="K814" s="23">
        <v>0</v>
      </c>
      <c r="M814"/>
      <c r="N814"/>
      <c r="O814"/>
      <c r="P814"/>
    </row>
    <row r="815" spans="9:16" x14ac:dyDescent="0.25">
      <c r="I815" s="7">
        <v>811</v>
      </c>
      <c r="J815" s="8">
        <v>37.948139222882816</v>
      </c>
      <c r="K815" s="23">
        <v>0</v>
      </c>
      <c r="M815"/>
      <c r="N815"/>
      <c r="O815"/>
      <c r="P815"/>
    </row>
    <row r="816" spans="9:16" x14ac:dyDescent="0.25">
      <c r="I816" s="9">
        <v>812</v>
      </c>
      <c r="J816" s="10">
        <v>30.596982292273054</v>
      </c>
      <c r="K816" s="23">
        <v>0</v>
      </c>
      <c r="M816"/>
      <c r="N816"/>
      <c r="O816"/>
      <c r="P816"/>
    </row>
    <row r="817" spans="9:16" x14ac:dyDescent="0.25">
      <c r="I817" s="7">
        <v>813</v>
      </c>
      <c r="J817" s="8">
        <v>-7.9918843501258436</v>
      </c>
      <c r="K817" s="23">
        <v>0</v>
      </c>
      <c r="M817"/>
      <c r="N817"/>
      <c r="O817"/>
      <c r="P817"/>
    </row>
    <row r="818" spans="9:16" x14ac:dyDescent="0.25">
      <c r="I818" s="9">
        <v>814</v>
      </c>
      <c r="J818" s="10">
        <v>34.90535653928859</v>
      </c>
      <c r="K818" s="23">
        <v>0</v>
      </c>
      <c r="M818"/>
      <c r="N818"/>
      <c r="O818"/>
      <c r="P818"/>
    </row>
    <row r="819" spans="9:16" x14ac:dyDescent="0.25">
      <c r="I819" s="7">
        <v>815</v>
      </c>
      <c r="J819" s="8">
        <v>-21.366004062123793</v>
      </c>
      <c r="K819" s="23">
        <v>0</v>
      </c>
      <c r="M819"/>
      <c r="N819"/>
      <c r="O819"/>
      <c r="P819"/>
    </row>
    <row r="820" spans="9:16" x14ac:dyDescent="0.25">
      <c r="I820" s="9">
        <v>816</v>
      </c>
      <c r="J820" s="10">
        <v>22.323812166133877</v>
      </c>
      <c r="K820" s="23">
        <v>0</v>
      </c>
      <c r="M820"/>
      <c r="N820"/>
      <c r="O820"/>
      <c r="P820"/>
    </row>
    <row r="821" spans="9:16" x14ac:dyDescent="0.25">
      <c r="I821" s="7">
        <v>817</v>
      </c>
      <c r="J821" s="8">
        <v>27.759656714575698</v>
      </c>
      <c r="K821" s="23">
        <v>0</v>
      </c>
      <c r="M821"/>
      <c r="N821"/>
      <c r="O821"/>
      <c r="P821"/>
    </row>
    <row r="822" spans="9:16" x14ac:dyDescent="0.25">
      <c r="I822" s="9">
        <v>818</v>
      </c>
      <c r="J822" s="10">
        <v>26.590216586000082</v>
      </c>
      <c r="K822" s="23">
        <v>0</v>
      </c>
      <c r="M822"/>
      <c r="N822"/>
      <c r="O822"/>
      <c r="P822"/>
    </row>
    <row r="823" spans="9:16" x14ac:dyDescent="0.25">
      <c r="I823" s="7">
        <v>819</v>
      </c>
      <c r="J823" s="8">
        <v>21.86909084957415</v>
      </c>
      <c r="K823" s="23">
        <v>0</v>
      </c>
      <c r="M823"/>
      <c r="N823"/>
      <c r="O823"/>
      <c r="P823"/>
    </row>
    <row r="824" spans="9:16" x14ac:dyDescent="0.25">
      <c r="I824" s="9">
        <v>820</v>
      </c>
      <c r="J824" s="10">
        <v>38.492872415712554</v>
      </c>
      <c r="K824" s="23">
        <v>0</v>
      </c>
      <c r="M824"/>
      <c r="N824"/>
      <c r="O824"/>
      <c r="P824"/>
    </row>
    <row r="825" spans="9:16" x14ac:dyDescent="0.25">
      <c r="I825" s="7">
        <v>821</v>
      </c>
      <c r="J825" s="8">
        <v>13.921139145894756</v>
      </c>
      <c r="K825" s="23">
        <v>0</v>
      </c>
      <c r="M825"/>
      <c r="N825"/>
      <c r="O825"/>
      <c r="P825"/>
    </row>
    <row r="826" spans="9:16" x14ac:dyDescent="0.25">
      <c r="I826" s="9">
        <v>822</v>
      </c>
      <c r="J826" s="10">
        <v>21.417112078117853</v>
      </c>
      <c r="K826" s="23">
        <v>0</v>
      </c>
      <c r="M826"/>
      <c r="N826"/>
      <c r="O826"/>
      <c r="P826"/>
    </row>
    <row r="827" spans="9:16" x14ac:dyDescent="0.25">
      <c r="I827" s="7">
        <v>823</v>
      </c>
      <c r="J827" s="8">
        <v>-14.478219411025847</v>
      </c>
      <c r="K827" s="23">
        <v>0</v>
      </c>
      <c r="M827"/>
      <c r="N827"/>
      <c r="O827"/>
      <c r="P827"/>
    </row>
    <row r="828" spans="9:16" x14ac:dyDescent="0.25">
      <c r="I828" s="9">
        <v>824</v>
      </c>
      <c r="J828" s="10">
        <v>38.477108801643638</v>
      </c>
      <c r="K828" s="23">
        <v>0</v>
      </c>
      <c r="M828"/>
      <c r="N828"/>
      <c r="O828"/>
      <c r="P828"/>
    </row>
    <row r="829" spans="9:16" x14ac:dyDescent="0.25">
      <c r="I829" s="7">
        <v>825</v>
      </c>
      <c r="J829" s="8">
        <v>-5.607639413233926</v>
      </c>
      <c r="K829" s="23">
        <v>0</v>
      </c>
      <c r="M829"/>
      <c r="N829"/>
      <c r="O829"/>
      <c r="P829"/>
    </row>
    <row r="830" spans="9:16" x14ac:dyDescent="0.25">
      <c r="I830" s="9">
        <v>826</v>
      </c>
      <c r="J830" s="10">
        <v>33.118085237975421</v>
      </c>
      <c r="K830" s="23">
        <v>0</v>
      </c>
      <c r="M830"/>
      <c r="N830"/>
      <c r="O830"/>
      <c r="P830"/>
    </row>
    <row r="831" spans="9:16" x14ac:dyDescent="0.25">
      <c r="I831" s="7">
        <v>827</v>
      </c>
      <c r="J831" s="8">
        <v>4.2275081984322185</v>
      </c>
      <c r="K831" s="23">
        <v>0</v>
      </c>
      <c r="M831"/>
      <c r="N831"/>
      <c r="O831"/>
      <c r="P831"/>
    </row>
    <row r="832" spans="9:16" x14ac:dyDescent="0.25">
      <c r="I832" s="9">
        <v>828</v>
      </c>
      <c r="J832" s="10">
        <v>5.1502328950957406</v>
      </c>
      <c r="K832" s="23">
        <v>0</v>
      </c>
      <c r="M832"/>
      <c r="N832"/>
      <c r="O832"/>
      <c r="P832"/>
    </row>
    <row r="833" spans="9:16" x14ac:dyDescent="0.25">
      <c r="I833" s="7">
        <v>829</v>
      </c>
      <c r="J833" s="8">
        <v>14.11472058592193</v>
      </c>
      <c r="K833" s="23">
        <v>0</v>
      </c>
      <c r="M833"/>
      <c r="N833"/>
      <c r="O833"/>
      <c r="P833"/>
    </row>
    <row r="834" spans="9:16" x14ac:dyDescent="0.25">
      <c r="I834" s="9">
        <v>830</v>
      </c>
      <c r="J834" s="10">
        <v>-6.7449241230570181</v>
      </c>
      <c r="K834" s="23">
        <v>0</v>
      </c>
      <c r="M834"/>
      <c r="N834"/>
      <c r="O834"/>
      <c r="P834"/>
    </row>
    <row r="835" spans="9:16" x14ac:dyDescent="0.25">
      <c r="I835" s="7">
        <v>831</v>
      </c>
      <c r="J835" s="8">
        <v>-0.10603715194977781</v>
      </c>
      <c r="K835" s="23">
        <v>0</v>
      </c>
      <c r="M835"/>
      <c r="N835"/>
      <c r="O835"/>
      <c r="P835"/>
    </row>
    <row r="836" spans="9:16" x14ac:dyDescent="0.25">
      <c r="I836" s="9">
        <v>832</v>
      </c>
      <c r="J836" s="10">
        <v>-20.244686097968653</v>
      </c>
      <c r="K836" s="23">
        <v>0</v>
      </c>
      <c r="M836"/>
      <c r="N836"/>
      <c r="O836"/>
      <c r="P836"/>
    </row>
    <row r="837" spans="9:16" x14ac:dyDescent="0.25">
      <c r="I837" s="7">
        <v>833</v>
      </c>
      <c r="J837" s="8">
        <v>10.503568339301921</v>
      </c>
      <c r="K837" s="23">
        <v>0</v>
      </c>
      <c r="M837"/>
      <c r="N837"/>
      <c r="O837"/>
      <c r="P837"/>
    </row>
    <row r="838" spans="9:16" x14ac:dyDescent="0.25">
      <c r="I838" s="9">
        <v>834</v>
      </c>
      <c r="J838" s="10">
        <v>16.896689660106802</v>
      </c>
      <c r="K838" s="23">
        <v>0</v>
      </c>
      <c r="M838"/>
      <c r="N838"/>
      <c r="O838"/>
      <c r="P838"/>
    </row>
    <row r="839" spans="9:16" x14ac:dyDescent="0.25">
      <c r="I839" s="7">
        <v>835</v>
      </c>
      <c r="J839" s="8">
        <v>5.5268421395074654</v>
      </c>
      <c r="K839" s="23">
        <v>0</v>
      </c>
      <c r="M839"/>
      <c r="N839"/>
      <c r="O839"/>
      <c r="P839"/>
    </row>
    <row r="840" spans="9:16" x14ac:dyDescent="0.25">
      <c r="I840" s="9">
        <v>836</v>
      </c>
      <c r="J840" s="10">
        <v>19.681459428839233</v>
      </c>
      <c r="K840" s="23">
        <v>0</v>
      </c>
      <c r="M840"/>
      <c r="N840"/>
      <c r="O840"/>
      <c r="P840"/>
    </row>
    <row r="841" spans="9:16" x14ac:dyDescent="0.25">
      <c r="I841" s="7">
        <v>837</v>
      </c>
      <c r="J841" s="8">
        <v>9.5167285951827694</v>
      </c>
      <c r="K841" s="23">
        <v>0</v>
      </c>
      <c r="M841"/>
      <c r="N841"/>
      <c r="O841"/>
      <c r="P841"/>
    </row>
    <row r="842" spans="9:16" x14ac:dyDescent="0.25">
      <c r="I842" s="9">
        <v>838</v>
      </c>
      <c r="J842" s="10">
        <v>24.405749692179768</v>
      </c>
      <c r="K842" s="23">
        <v>0</v>
      </c>
      <c r="M842"/>
      <c r="N842"/>
      <c r="O842"/>
      <c r="P842"/>
    </row>
    <row r="843" spans="9:16" x14ac:dyDescent="0.25">
      <c r="I843" s="7">
        <v>839</v>
      </c>
      <c r="J843" s="8">
        <v>-5.7614364271076965</v>
      </c>
      <c r="K843" s="23">
        <v>0</v>
      </c>
      <c r="M843"/>
      <c r="N843"/>
      <c r="O843"/>
      <c r="P843"/>
    </row>
    <row r="844" spans="9:16" x14ac:dyDescent="0.25">
      <c r="I844" s="9">
        <v>840</v>
      </c>
      <c r="J844" s="10">
        <v>2.1811402382275418</v>
      </c>
      <c r="K844" s="23">
        <v>0</v>
      </c>
      <c r="M844"/>
      <c r="N844"/>
      <c r="O844"/>
      <c r="P844"/>
    </row>
    <row r="845" spans="9:16" x14ac:dyDescent="0.25">
      <c r="I845" s="7">
        <v>841</v>
      </c>
      <c r="J845" s="8">
        <v>31.893646703303588</v>
      </c>
      <c r="K845" s="23">
        <v>0</v>
      </c>
      <c r="M845"/>
      <c r="N845"/>
      <c r="O845"/>
      <c r="P845"/>
    </row>
    <row r="846" spans="9:16" x14ac:dyDescent="0.25">
      <c r="I846" s="9">
        <v>842</v>
      </c>
      <c r="J846" s="10">
        <v>0.99505660026650844</v>
      </c>
      <c r="K846" s="23">
        <v>0</v>
      </c>
      <c r="M846"/>
      <c r="N846"/>
      <c r="O846"/>
      <c r="P846"/>
    </row>
    <row r="847" spans="9:16" x14ac:dyDescent="0.25">
      <c r="I847" s="7">
        <v>843</v>
      </c>
      <c r="J847" s="8">
        <v>-15.418110031626597</v>
      </c>
      <c r="K847" s="23">
        <v>0</v>
      </c>
      <c r="M847"/>
      <c r="N847"/>
      <c r="O847"/>
      <c r="P847"/>
    </row>
    <row r="848" spans="9:16" x14ac:dyDescent="0.25">
      <c r="I848" s="9">
        <v>844</v>
      </c>
      <c r="J848" s="10">
        <v>36.448390472727411</v>
      </c>
      <c r="K848" s="23">
        <v>0</v>
      </c>
      <c r="M848"/>
      <c r="N848"/>
      <c r="O848"/>
      <c r="P848"/>
    </row>
    <row r="849" spans="9:16" x14ac:dyDescent="0.25">
      <c r="I849" s="7">
        <v>845</v>
      </c>
      <c r="J849" s="8">
        <v>24.712869765538457</v>
      </c>
      <c r="K849" s="23">
        <v>0</v>
      </c>
      <c r="M849"/>
      <c r="N849"/>
      <c r="O849"/>
      <c r="P849"/>
    </row>
    <row r="850" spans="9:16" x14ac:dyDescent="0.25">
      <c r="I850" s="9">
        <v>846</v>
      </c>
      <c r="J850" s="10">
        <v>24.223597382340358</v>
      </c>
      <c r="K850" s="23">
        <v>0</v>
      </c>
      <c r="M850"/>
      <c r="N850"/>
      <c r="O850"/>
      <c r="P850"/>
    </row>
    <row r="851" spans="9:16" x14ac:dyDescent="0.25">
      <c r="I851" s="7">
        <v>847</v>
      </c>
      <c r="J851" s="8">
        <v>20.021333796863331</v>
      </c>
      <c r="K851" s="23">
        <v>0</v>
      </c>
      <c r="M851"/>
      <c r="N851"/>
      <c r="O851"/>
      <c r="P851"/>
    </row>
    <row r="852" spans="9:16" x14ac:dyDescent="0.25">
      <c r="I852" s="9">
        <v>848</v>
      </c>
      <c r="J852" s="10">
        <v>35.175201912026409</v>
      </c>
      <c r="K852" s="23">
        <v>0</v>
      </c>
      <c r="M852"/>
      <c r="N852"/>
      <c r="O852"/>
      <c r="P852"/>
    </row>
    <row r="853" spans="9:16" x14ac:dyDescent="0.25">
      <c r="I853" s="7">
        <v>849</v>
      </c>
      <c r="J853" s="8">
        <v>3.4943691165182997</v>
      </c>
      <c r="K853" s="23">
        <v>0</v>
      </c>
      <c r="M853"/>
      <c r="N853"/>
      <c r="O853"/>
      <c r="P853"/>
    </row>
    <row r="854" spans="9:16" x14ac:dyDescent="0.25">
      <c r="I854" s="9">
        <v>850</v>
      </c>
      <c r="J854" s="10">
        <v>30.0599376795073</v>
      </c>
      <c r="K854" s="23">
        <v>0</v>
      </c>
      <c r="M854"/>
      <c r="N854"/>
      <c r="O854"/>
      <c r="P854"/>
    </row>
    <row r="855" spans="9:16" x14ac:dyDescent="0.25">
      <c r="I855" s="7">
        <v>851</v>
      </c>
      <c r="J855" s="8">
        <v>58.12103916847316</v>
      </c>
      <c r="K855" s="23">
        <v>0</v>
      </c>
      <c r="M855"/>
      <c r="N855"/>
      <c r="O855"/>
      <c r="P855"/>
    </row>
    <row r="856" spans="9:16" x14ac:dyDescent="0.25">
      <c r="I856" s="9">
        <v>852</v>
      </c>
      <c r="J856" s="10">
        <v>18.977154123638016</v>
      </c>
      <c r="K856" s="23">
        <v>0</v>
      </c>
      <c r="M856"/>
      <c r="N856"/>
      <c r="O856"/>
      <c r="P856"/>
    </row>
    <row r="857" spans="9:16" x14ac:dyDescent="0.25">
      <c r="I857" s="7">
        <v>853</v>
      </c>
      <c r="J857" s="8">
        <v>17.281296117651436</v>
      </c>
      <c r="K857" s="23">
        <v>0</v>
      </c>
      <c r="M857"/>
      <c r="N857"/>
      <c r="O857"/>
      <c r="P857"/>
    </row>
    <row r="858" spans="9:16" x14ac:dyDescent="0.25">
      <c r="I858" s="9">
        <v>854</v>
      </c>
      <c r="J858" s="10">
        <v>6.621232931879959</v>
      </c>
      <c r="K858" s="23">
        <v>0</v>
      </c>
      <c r="M858"/>
      <c r="N858"/>
      <c r="O858"/>
      <c r="P858"/>
    </row>
    <row r="859" spans="9:16" x14ac:dyDescent="0.25">
      <c r="I859" s="7">
        <v>855</v>
      </c>
      <c r="J859" s="8">
        <v>20.945459366216639</v>
      </c>
      <c r="K859" s="23">
        <v>0</v>
      </c>
      <c r="M859"/>
      <c r="N859"/>
      <c r="O859"/>
      <c r="P859"/>
    </row>
    <row r="860" spans="9:16" x14ac:dyDescent="0.25">
      <c r="I860" s="9">
        <v>856</v>
      </c>
      <c r="J860" s="10">
        <v>29.256470591093574</v>
      </c>
      <c r="K860" s="23">
        <v>0</v>
      </c>
      <c r="M860"/>
      <c r="N860"/>
      <c r="O860"/>
      <c r="P860"/>
    </row>
    <row r="861" spans="9:16" x14ac:dyDescent="0.25">
      <c r="I861" s="7">
        <v>857</v>
      </c>
      <c r="J861" s="8">
        <v>30.755189150103803</v>
      </c>
      <c r="K861" s="23">
        <v>0</v>
      </c>
      <c r="M861"/>
      <c r="N861"/>
      <c r="O861"/>
      <c r="P861"/>
    </row>
    <row r="862" spans="9:16" x14ac:dyDescent="0.25">
      <c r="I862" s="9">
        <v>858</v>
      </c>
      <c r="J862" s="10">
        <v>26.085784924654405</v>
      </c>
      <c r="K862" s="23">
        <v>0</v>
      </c>
      <c r="M862"/>
      <c r="N862"/>
      <c r="O862"/>
      <c r="P862"/>
    </row>
    <row r="863" spans="9:16" x14ac:dyDescent="0.25">
      <c r="I863" s="7">
        <v>859</v>
      </c>
      <c r="J863" s="8">
        <v>-4.6218951682768363</v>
      </c>
      <c r="K863" s="23">
        <v>0</v>
      </c>
      <c r="M863"/>
      <c r="N863"/>
      <c r="O863"/>
      <c r="P863"/>
    </row>
    <row r="864" spans="9:16" x14ac:dyDescent="0.25">
      <c r="I864" s="9">
        <v>860</v>
      </c>
      <c r="J864" s="10">
        <v>7.7889429058569135</v>
      </c>
      <c r="K864" s="23">
        <v>0</v>
      </c>
      <c r="M864"/>
      <c r="N864"/>
      <c r="O864"/>
      <c r="P864"/>
    </row>
    <row r="865" spans="9:16" x14ac:dyDescent="0.25">
      <c r="I865" s="7">
        <v>861</v>
      </c>
      <c r="J865" s="8">
        <v>11.048741370220455</v>
      </c>
      <c r="K865" s="23">
        <v>0</v>
      </c>
      <c r="M865"/>
      <c r="N865"/>
      <c r="O865"/>
      <c r="P865"/>
    </row>
    <row r="866" spans="9:16" x14ac:dyDescent="0.25">
      <c r="I866" s="9">
        <v>862</v>
      </c>
      <c r="J866" s="10">
        <v>-2.8129924942593902</v>
      </c>
      <c r="K866" s="23">
        <v>0</v>
      </c>
      <c r="M866"/>
      <c r="N866"/>
      <c r="O866"/>
      <c r="P866"/>
    </row>
    <row r="867" spans="9:16" x14ac:dyDescent="0.25">
      <c r="I867" s="7">
        <v>863</v>
      </c>
      <c r="J867" s="8">
        <v>-11.57417073817048</v>
      </c>
      <c r="K867" s="23">
        <v>0</v>
      </c>
      <c r="M867"/>
      <c r="N867"/>
      <c r="O867"/>
      <c r="P867"/>
    </row>
    <row r="868" spans="9:16" x14ac:dyDescent="0.25">
      <c r="I868" s="9">
        <v>864</v>
      </c>
      <c r="J868" s="10">
        <v>21.481845493164428</v>
      </c>
      <c r="K868" s="23">
        <v>0</v>
      </c>
      <c r="M868"/>
      <c r="N868"/>
      <c r="O868"/>
      <c r="P868"/>
    </row>
    <row r="869" spans="9:16" x14ac:dyDescent="0.25">
      <c r="I869" s="7">
        <v>865</v>
      </c>
      <c r="J869" s="8">
        <v>21.425646861013007</v>
      </c>
      <c r="K869" s="23">
        <v>0</v>
      </c>
      <c r="M869"/>
      <c r="N869"/>
      <c r="O869"/>
      <c r="P869"/>
    </row>
    <row r="870" spans="9:16" x14ac:dyDescent="0.25">
      <c r="I870" s="9">
        <v>866</v>
      </c>
      <c r="J870" s="10">
        <v>-19.857846264660679</v>
      </c>
      <c r="K870" s="23">
        <v>0</v>
      </c>
      <c r="M870"/>
      <c r="N870"/>
      <c r="O870"/>
      <c r="P870"/>
    </row>
    <row r="871" spans="9:16" x14ac:dyDescent="0.25">
      <c r="I871" s="7">
        <v>867</v>
      </c>
      <c r="J871" s="8">
        <v>19.924001109460875</v>
      </c>
      <c r="K871" s="23">
        <v>0</v>
      </c>
      <c r="M871"/>
      <c r="N871"/>
      <c r="O871"/>
      <c r="P871"/>
    </row>
    <row r="872" spans="9:16" x14ac:dyDescent="0.25">
      <c r="I872" s="9">
        <v>868</v>
      </c>
      <c r="J872" s="10">
        <v>9.5456120767002801</v>
      </c>
      <c r="K872" s="23">
        <v>0</v>
      </c>
      <c r="M872"/>
      <c r="N872"/>
      <c r="O872"/>
      <c r="P872"/>
    </row>
    <row r="873" spans="9:16" x14ac:dyDescent="0.25">
      <c r="I873" s="7">
        <v>869</v>
      </c>
      <c r="J873" s="8">
        <v>-5.1362504290572701</v>
      </c>
      <c r="K873" s="23">
        <v>0</v>
      </c>
      <c r="N873" s="27"/>
    </row>
    <row r="874" spans="9:16" x14ac:dyDescent="0.25">
      <c r="I874" s="9">
        <v>870</v>
      </c>
      <c r="J874" s="10">
        <v>-13.496402575449608</v>
      </c>
      <c r="K874" s="23">
        <v>0</v>
      </c>
      <c r="N874" s="27"/>
    </row>
    <row r="875" spans="9:16" x14ac:dyDescent="0.25">
      <c r="I875" s="7">
        <v>871</v>
      </c>
      <c r="J875" s="8">
        <v>8.0049123447530803</v>
      </c>
      <c r="K875" s="23">
        <v>0</v>
      </c>
      <c r="N875" s="27"/>
    </row>
    <row r="876" spans="9:16" x14ac:dyDescent="0.25">
      <c r="I876" s="9">
        <v>872</v>
      </c>
      <c r="J876" s="10">
        <v>13.996639895724314</v>
      </c>
      <c r="K876" s="23">
        <v>0</v>
      </c>
      <c r="N876" s="27"/>
    </row>
    <row r="877" spans="9:16" x14ac:dyDescent="0.25">
      <c r="I877" s="7">
        <v>873</v>
      </c>
      <c r="J877" s="8">
        <v>-11.397978356720273</v>
      </c>
      <c r="K877" s="23">
        <v>0</v>
      </c>
      <c r="N877" s="27"/>
    </row>
    <row r="878" spans="9:16" x14ac:dyDescent="0.25">
      <c r="I878" s="9">
        <v>874</v>
      </c>
      <c r="J878" s="10">
        <v>31.722076573887819</v>
      </c>
      <c r="K878" s="23">
        <v>0</v>
      </c>
      <c r="N878" s="27"/>
    </row>
    <row r="879" spans="9:16" x14ac:dyDescent="0.25">
      <c r="I879" s="7">
        <v>875</v>
      </c>
      <c r="J879" s="8">
        <v>14.500936217352603</v>
      </c>
      <c r="K879" s="23">
        <v>0</v>
      </c>
      <c r="N879" s="27"/>
    </row>
    <row r="880" spans="9:16" x14ac:dyDescent="0.25">
      <c r="I880" s="9">
        <v>876</v>
      </c>
      <c r="J880" s="10">
        <v>12.096378128817378</v>
      </c>
      <c r="K880" s="23">
        <v>0</v>
      </c>
      <c r="N880" s="27"/>
    </row>
    <row r="881" spans="9:14" x14ac:dyDescent="0.25">
      <c r="I881" s="7">
        <v>877</v>
      </c>
      <c r="J881" s="8">
        <v>1.2738124941962781</v>
      </c>
      <c r="K881" s="23">
        <v>0</v>
      </c>
      <c r="N881" s="27"/>
    </row>
    <row r="882" spans="9:14" x14ac:dyDescent="0.25">
      <c r="I882" s="9">
        <v>878</v>
      </c>
      <c r="J882" s="10">
        <v>6.8834143324890107</v>
      </c>
      <c r="K882" s="23">
        <v>0</v>
      </c>
      <c r="N882" s="27"/>
    </row>
    <row r="883" spans="9:14" x14ac:dyDescent="0.25">
      <c r="I883" s="7">
        <v>879</v>
      </c>
      <c r="J883" s="8">
        <v>32.052705709598513</v>
      </c>
      <c r="K883" s="23">
        <v>0</v>
      </c>
      <c r="N883" s="27"/>
    </row>
    <row r="884" spans="9:14" x14ac:dyDescent="0.25">
      <c r="I884" s="9">
        <v>880</v>
      </c>
      <c r="J884" s="10">
        <v>37.50982247328011</v>
      </c>
      <c r="K884" s="23">
        <v>0</v>
      </c>
      <c r="N884" s="27"/>
    </row>
    <row r="885" spans="9:14" x14ac:dyDescent="0.25">
      <c r="I885" s="7">
        <v>881</v>
      </c>
      <c r="J885" s="8">
        <v>32.643060878295017</v>
      </c>
      <c r="K885" s="23">
        <v>0</v>
      </c>
      <c r="N885" s="27"/>
    </row>
    <row r="886" spans="9:14" x14ac:dyDescent="0.25">
      <c r="I886" s="9">
        <v>882</v>
      </c>
      <c r="J886" s="10">
        <v>-2.1537347404166951</v>
      </c>
      <c r="K886" s="23">
        <v>0</v>
      </c>
      <c r="N886" s="27"/>
    </row>
    <row r="887" spans="9:14" x14ac:dyDescent="0.25">
      <c r="I887" s="7">
        <v>883</v>
      </c>
      <c r="J887" s="8">
        <v>42.298391386817059</v>
      </c>
      <c r="K887" s="23">
        <v>0</v>
      </c>
      <c r="N887" s="27"/>
    </row>
    <row r="888" spans="9:14" x14ac:dyDescent="0.25">
      <c r="I888" s="9">
        <v>884</v>
      </c>
      <c r="J888" s="10">
        <v>7.5052108479817292</v>
      </c>
      <c r="K888" s="23">
        <v>0</v>
      </c>
      <c r="N888" s="27"/>
    </row>
    <row r="889" spans="9:14" x14ac:dyDescent="0.25">
      <c r="I889" s="7">
        <v>885</v>
      </c>
      <c r="J889" s="8">
        <v>9.1433815734101813</v>
      </c>
      <c r="K889" s="23">
        <v>0</v>
      </c>
      <c r="N889" s="27"/>
    </row>
    <row r="890" spans="9:14" x14ac:dyDescent="0.25">
      <c r="I890" s="9">
        <v>886</v>
      </c>
      <c r="J890" s="10">
        <v>43.83246746983049</v>
      </c>
      <c r="K890" s="23">
        <v>0</v>
      </c>
      <c r="N890" s="27"/>
    </row>
    <row r="891" spans="9:14" x14ac:dyDescent="0.25">
      <c r="I891" s="7">
        <v>887</v>
      </c>
      <c r="J891" s="8">
        <v>2.1076073083009703</v>
      </c>
      <c r="K891" s="23">
        <v>0</v>
      </c>
      <c r="N891" s="27"/>
    </row>
    <row r="892" spans="9:14" x14ac:dyDescent="0.25">
      <c r="I892" s="9">
        <v>888</v>
      </c>
      <c r="J892" s="10">
        <v>-0.11474639389484764</v>
      </c>
      <c r="K892" s="23">
        <v>0</v>
      </c>
      <c r="N892" s="27"/>
    </row>
    <row r="893" spans="9:14" x14ac:dyDescent="0.25">
      <c r="I893" s="7">
        <v>889</v>
      </c>
      <c r="J893" s="8">
        <v>-25.995869476892693</v>
      </c>
      <c r="K893" s="23">
        <v>0</v>
      </c>
      <c r="N893" s="27"/>
    </row>
    <row r="894" spans="9:14" x14ac:dyDescent="0.25">
      <c r="I894" s="9">
        <v>890</v>
      </c>
      <c r="J894" s="10">
        <v>8.9257244083412104</v>
      </c>
      <c r="K894" s="23">
        <v>0</v>
      </c>
      <c r="N894" s="27"/>
    </row>
    <row r="895" spans="9:14" x14ac:dyDescent="0.25">
      <c r="I895" s="7">
        <v>891</v>
      </c>
      <c r="J895" s="8">
        <v>-30.275411697042799</v>
      </c>
      <c r="K895" s="23">
        <v>0</v>
      </c>
      <c r="N895" s="27"/>
    </row>
    <row r="896" spans="9:14" x14ac:dyDescent="0.25">
      <c r="I896" s="9">
        <v>892</v>
      </c>
      <c r="J896" s="10">
        <v>9.3439918490587104</v>
      </c>
      <c r="K896" s="23">
        <v>0</v>
      </c>
      <c r="N896" s="27"/>
    </row>
    <row r="897" spans="9:14" x14ac:dyDescent="0.25">
      <c r="I897" s="7">
        <v>893</v>
      </c>
      <c r="J897" s="8">
        <v>21.012793043849271</v>
      </c>
      <c r="K897" s="23">
        <v>0</v>
      </c>
      <c r="N897" s="27"/>
    </row>
    <row r="898" spans="9:14" x14ac:dyDescent="0.25">
      <c r="I898" s="9">
        <v>894</v>
      </c>
      <c r="J898" s="10">
        <v>5.5391373906344938</v>
      </c>
      <c r="K898" s="23">
        <v>0</v>
      </c>
      <c r="N898" s="27"/>
    </row>
    <row r="899" spans="9:14" x14ac:dyDescent="0.25">
      <c r="I899" s="7">
        <v>895</v>
      </c>
      <c r="J899" s="8">
        <v>-0.75661950840924419</v>
      </c>
      <c r="K899" s="23">
        <v>0</v>
      </c>
      <c r="N899" s="27"/>
    </row>
    <row r="900" spans="9:14" x14ac:dyDescent="0.25">
      <c r="I900" s="9">
        <v>896</v>
      </c>
      <c r="J900" s="10">
        <v>22.098022730271765</v>
      </c>
      <c r="K900" s="23">
        <v>0</v>
      </c>
      <c r="N900" s="27"/>
    </row>
    <row r="901" spans="9:14" x14ac:dyDescent="0.25">
      <c r="I901" s="7">
        <v>897</v>
      </c>
      <c r="J901" s="8">
        <v>22.380390407790998</v>
      </c>
      <c r="K901" s="23">
        <v>0</v>
      </c>
      <c r="N901" s="27"/>
    </row>
    <row r="902" spans="9:14" x14ac:dyDescent="0.25">
      <c r="I902" s="9">
        <v>898</v>
      </c>
      <c r="J902" s="10">
        <v>-24.970995265994276</v>
      </c>
      <c r="K902" s="23">
        <v>0</v>
      </c>
      <c r="N902" s="27"/>
    </row>
    <row r="903" spans="9:14" x14ac:dyDescent="0.25">
      <c r="I903" s="7">
        <v>899</v>
      </c>
      <c r="J903" s="8">
        <v>11.342113620959708</v>
      </c>
      <c r="K903" s="23">
        <v>0</v>
      </c>
      <c r="N903" s="27"/>
    </row>
    <row r="904" spans="9:14" x14ac:dyDescent="0.25">
      <c r="I904" s="9">
        <v>900</v>
      </c>
      <c r="J904" s="10">
        <v>22.016877240136509</v>
      </c>
      <c r="K904" s="23">
        <v>0</v>
      </c>
      <c r="N904" s="27"/>
    </row>
    <row r="905" spans="9:14" x14ac:dyDescent="0.25">
      <c r="I905" s="7">
        <v>901</v>
      </c>
      <c r="J905" s="8">
        <v>-11.504376919461095</v>
      </c>
      <c r="K905" s="23">
        <v>0</v>
      </c>
      <c r="N905" s="27"/>
    </row>
    <row r="906" spans="9:14" x14ac:dyDescent="0.25">
      <c r="I906" s="9">
        <v>902</v>
      </c>
      <c r="J906" s="10">
        <v>23.271762491991311</v>
      </c>
      <c r="K906" s="23">
        <v>0</v>
      </c>
      <c r="N906" s="27"/>
    </row>
    <row r="907" spans="9:14" x14ac:dyDescent="0.25">
      <c r="I907" s="7">
        <v>903</v>
      </c>
      <c r="J907" s="8">
        <v>30.224938327303249</v>
      </c>
      <c r="K907" s="23">
        <v>0</v>
      </c>
      <c r="N907" s="27"/>
    </row>
    <row r="908" spans="9:14" x14ac:dyDescent="0.25">
      <c r="I908" s="9">
        <v>904</v>
      </c>
      <c r="J908" s="10">
        <v>8.6391546484652793</v>
      </c>
      <c r="K908" s="23">
        <v>0</v>
      </c>
      <c r="N908" s="27"/>
    </row>
    <row r="909" spans="9:14" x14ac:dyDescent="0.25">
      <c r="I909" s="7">
        <v>905</v>
      </c>
      <c r="J909" s="8">
        <v>12.815844062258321</v>
      </c>
      <c r="K909" s="23">
        <v>0</v>
      </c>
      <c r="N909" s="27"/>
    </row>
    <row r="910" spans="9:14" x14ac:dyDescent="0.25">
      <c r="I910" s="9">
        <v>906</v>
      </c>
      <c r="J910" s="10">
        <v>27.513078056612045</v>
      </c>
      <c r="K910" s="23">
        <v>0</v>
      </c>
      <c r="N910" s="27"/>
    </row>
    <row r="911" spans="9:14" x14ac:dyDescent="0.25">
      <c r="I911" s="7">
        <v>907</v>
      </c>
      <c r="J911" s="8">
        <v>27.378794609594863</v>
      </c>
      <c r="K911" s="23">
        <v>0</v>
      </c>
      <c r="N911" s="27"/>
    </row>
    <row r="912" spans="9:14" x14ac:dyDescent="0.25">
      <c r="I912" s="9">
        <v>908</v>
      </c>
      <c r="J912" s="10">
        <v>20.623922645710564</v>
      </c>
      <c r="K912" s="23">
        <v>0</v>
      </c>
      <c r="N912" s="27"/>
    </row>
    <row r="913" spans="9:14" x14ac:dyDescent="0.25">
      <c r="I913" s="7">
        <v>909</v>
      </c>
      <c r="J913" s="8">
        <v>-16.27699512335451</v>
      </c>
      <c r="K913" s="23">
        <v>0</v>
      </c>
      <c r="N913" s="27"/>
    </row>
    <row r="914" spans="9:14" x14ac:dyDescent="0.25">
      <c r="I914" s="9">
        <v>910</v>
      </c>
      <c r="J914" s="10">
        <v>24.162643190554206</v>
      </c>
      <c r="K914" s="23">
        <v>0</v>
      </c>
      <c r="N914" s="27"/>
    </row>
    <row r="915" spans="9:14" x14ac:dyDescent="0.25">
      <c r="I915" s="7">
        <v>911</v>
      </c>
      <c r="J915" s="8">
        <v>7.6532313266813503</v>
      </c>
      <c r="K915" s="23">
        <v>0</v>
      </c>
      <c r="N915" s="27"/>
    </row>
    <row r="916" spans="9:14" x14ac:dyDescent="0.25">
      <c r="I916" s="9">
        <v>912</v>
      </c>
      <c r="J916" s="10">
        <v>-13.738768050538653</v>
      </c>
      <c r="K916" s="23">
        <v>0</v>
      </c>
      <c r="N916" s="27"/>
    </row>
    <row r="917" spans="9:14" x14ac:dyDescent="0.25">
      <c r="I917" s="7">
        <v>913</v>
      </c>
      <c r="J917" s="8">
        <v>35.72124557630697</v>
      </c>
      <c r="K917" s="23">
        <v>0</v>
      </c>
      <c r="N917" s="27"/>
    </row>
    <row r="918" spans="9:14" x14ac:dyDescent="0.25">
      <c r="I918" s="9">
        <v>914</v>
      </c>
      <c r="J918" s="10">
        <v>-0.59923066015031168</v>
      </c>
      <c r="K918" s="23">
        <v>0</v>
      </c>
      <c r="N918" s="27"/>
    </row>
    <row r="919" spans="9:14" x14ac:dyDescent="0.25">
      <c r="I919" s="7">
        <v>915</v>
      </c>
      <c r="J919" s="8">
        <v>9.0826447728857715</v>
      </c>
      <c r="K919" s="23">
        <v>0</v>
      </c>
      <c r="N919" s="27"/>
    </row>
    <row r="920" spans="9:14" x14ac:dyDescent="0.25">
      <c r="I920" s="9">
        <v>916</v>
      </c>
      <c r="J920" s="10">
        <v>11.087003409464558</v>
      </c>
      <c r="K920" s="23">
        <v>0</v>
      </c>
      <c r="N920" s="27"/>
    </row>
    <row r="921" spans="9:14" x14ac:dyDescent="0.25">
      <c r="I921" s="7">
        <v>917</v>
      </c>
      <c r="J921" s="8">
        <v>-0.4347772200644755</v>
      </c>
      <c r="K921" s="23">
        <v>0</v>
      </c>
      <c r="N921" s="27"/>
    </row>
    <row r="922" spans="9:14" x14ac:dyDescent="0.25">
      <c r="I922" s="9">
        <v>918</v>
      </c>
      <c r="J922" s="10">
        <v>26.230925780230706</v>
      </c>
      <c r="K922" s="23">
        <v>0</v>
      </c>
      <c r="N922" s="27"/>
    </row>
    <row r="923" spans="9:14" x14ac:dyDescent="0.25">
      <c r="I923" s="7">
        <v>919</v>
      </c>
      <c r="J923" s="8">
        <v>29.34326698548503</v>
      </c>
      <c r="K923" s="23">
        <v>0</v>
      </c>
      <c r="N923" s="27"/>
    </row>
    <row r="924" spans="9:14" x14ac:dyDescent="0.25">
      <c r="I924" s="9">
        <v>920</v>
      </c>
      <c r="J924" s="10">
        <v>11.272371256642515</v>
      </c>
      <c r="K924" s="23">
        <v>0</v>
      </c>
      <c r="N924" s="27"/>
    </row>
    <row r="925" spans="9:14" x14ac:dyDescent="0.25">
      <c r="I925" s="7">
        <v>921</v>
      </c>
      <c r="J925" s="8">
        <v>24.119535519732551</v>
      </c>
      <c r="K925" s="23">
        <v>0</v>
      </c>
      <c r="N925" s="27"/>
    </row>
    <row r="926" spans="9:14" x14ac:dyDescent="0.25">
      <c r="I926" s="9">
        <v>922</v>
      </c>
      <c r="J926" s="10">
        <v>-13.335867577409971</v>
      </c>
      <c r="K926" s="23">
        <v>0</v>
      </c>
      <c r="N926" s="27"/>
    </row>
    <row r="927" spans="9:14" x14ac:dyDescent="0.25">
      <c r="I927" s="7">
        <v>923</v>
      </c>
      <c r="J927" s="8">
        <v>-8.1472826657143145</v>
      </c>
      <c r="K927" s="23">
        <v>0</v>
      </c>
      <c r="N927" s="27"/>
    </row>
    <row r="928" spans="9:14" x14ac:dyDescent="0.25">
      <c r="I928" s="9">
        <v>924</v>
      </c>
      <c r="J928" s="10">
        <v>-13.824606983210586</v>
      </c>
      <c r="K928" s="23">
        <v>0</v>
      </c>
      <c r="N928" s="27"/>
    </row>
    <row r="929" spans="9:14" x14ac:dyDescent="0.25">
      <c r="I929" s="7">
        <v>925</v>
      </c>
      <c r="J929" s="8">
        <v>21.748769581946419</v>
      </c>
      <c r="K929" s="23">
        <v>0</v>
      </c>
      <c r="N929" s="27"/>
    </row>
    <row r="930" spans="9:14" x14ac:dyDescent="0.25">
      <c r="I930" s="9">
        <v>926</v>
      </c>
      <c r="J930" s="10">
        <v>18.141330449208425</v>
      </c>
      <c r="K930" s="23">
        <v>0</v>
      </c>
      <c r="N930" s="27"/>
    </row>
    <row r="931" spans="9:14" x14ac:dyDescent="0.25">
      <c r="I931" s="7">
        <v>927</v>
      </c>
      <c r="J931" s="8">
        <v>33.235837140972563</v>
      </c>
      <c r="K931" s="23">
        <v>0</v>
      </c>
      <c r="N931" s="27"/>
    </row>
    <row r="932" spans="9:14" x14ac:dyDescent="0.25">
      <c r="I932" s="9">
        <v>928</v>
      </c>
      <c r="J932" s="10">
        <v>-3.7279324448075783</v>
      </c>
      <c r="K932" s="23">
        <v>0</v>
      </c>
      <c r="N932" s="27"/>
    </row>
    <row r="933" spans="9:14" x14ac:dyDescent="0.25">
      <c r="I933" s="7">
        <v>929</v>
      </c>
      <c r="J933" s="8">
        <v>36.887090848643723</v>
      </c>
      <c r="K933" s="23">
        <v>0</v>
      </c>
      <c r="N933" s="27"/>
    </row>
    <row r="934" spans="9:14" x14ac:dyDescent="0.25">
      <c r="I934" s="9">
        <v>930</v>
      </c>
      <c r="J934" s="10">
        <v>13.560351187476698</v>
      </c>
      <c r="K934" s="23">
        <v>0</v>
      </c>
      <c r="N934" s="27"/>
    </row>
    <row r="935" spans="9:14" x14ac:dyDescent="0.25">
      <c r="I935" s="7">
        <v>931</v>
      </c>
      <c r="J935" s="8">
        <v>30.092291240215886</v>
      </c>
      <c r="K935" s="23">
        <v>0</v>
      </c>
      <c r="N935" s="27"/>
    </row>
    <row r="936" spans="9:14" x14ac:dyDescent="0.25">
      <c r="I936" s="9">
        <v>932</v>
      </c>
      <c r="J936" s="10">
        <v>5.477262442182905</v>
      </c>
      <c r="K936" s="23">
        <v>0</v>
      </c>
      <c r="N936" s="27"/>
    </row>
    <row r="937" spans="9:14" x14ac:dyDescent="0.25">
      <c r="I937" s="7">
        <v>933</v>
      </c>
      <c r="J937" s="8">
        <v>22.211546504335473</v>
      </c>
      <c r="K937" s="23">
        <v>0</v>
      </c>
      <c r="N937" s="27"/>
    </row>
    <row r="938" spans="9:14" x14ac:dyDescent="0.25">
      <c r="I938" s="9">
        <v>934</v>
      </c>
      <c r="J938" s="10">
        <v>36.627814791228701</v>
      </c>
      <c r="K938" s="23">
        <v>0</v>
      </c>
      <c r="N938" s="27"/>
    </row>
    <row r="939" spans="9:14" x14ac:dyDescent="0.25">
      <c r="I939" s="7">
        <v>935</v>
      </c>
      <c r="J939" s="8">
        <v>13.938497802163724</v>
      </c>
      <c r="K939" s="23">
        <v>0</v>
      </c>
      <c r="N939" s="27"/>
    </row>
    <row r="940" spans="9:14" x14ac:dyDescent="0.25">
      <c r="I940" s="9">
        <v>936</v>
      </c>
      <c r="J940" s="10">
        <v>26.282487779559659</v>
      </c>
      <c r="K940" s="23">
        <v>0</v>
      </c>
      <c r="N940" s="27"/>
    </row>
    <row r="941" spans="9:14" x14ac:dyDescent="0.25">
      <c r="I941" s="7">
        <v>937</v>
      </c>
      <c r="J941" s="8">
        <v>31.066675430695469</v>
      </c>
      <c r="K941" s="23">
        <v>0</v>
      </c>
      <c r="N941" s="27"/>
    </row>
    <row r="942" spans="9:14" x14ac:dyDescent="0.25">
      <c r="I942" s="9">
        <v>938</v>
      </c>
      <c r="J942" s="10">
        <v>26.187530401932548</v>
      </c>
      <c r="K942" s="23">
        <v>0</v>
      </c>
      <c r="N942" s="27"/>
    </row>
    <row r="943" spans="9:14" x14ac:dyDescent="0.25">
      <c r="I943" s="7">
        <v>939</v>
      </c>
      <c r="J943" s="8">
        <v>18.709323857857413</v>
      </c>
      <c r="K943" s="23">
        <v>0</v>
      </c>
      <c r="N943" s="27"/>
    </row>
    <row r="944" spans="9:14" x14ac:dyDescent="0.25">
      <c r="I944" s="9">
        <v>940</v>
      </c>
      <c r="J944" s="10">
        <v>16.549229780116505</v>
      </c>
      <c r="K944" s="23">
        <v>0</v>
      </c>
      <c r="N944" s="27"/>
    </row>
    <row r="945" spans="9:14" x14ac:dyDescent="0.25">
      <c r="I945" s="7">
        <v>941</v>
      </c>
      <c r="J945" s="8">
        <v>-0.24158812022673715</v>
      </c>
      <c r="K945" s="23">
        <v>0</v>
      </c>
      <c r="N945" s="27"/>
    </row>
    <row r="946" spans="9:14" x14ac:dyDescent="0.25">
      <c r="I946" s="9">
        <v>942</v>
      </c>
      <c r="J946" s="10">
        <v>29.553975918240113</v>
      </c>
      <c r="K946" s="23">
        <v>0</v>
      </c>
      <c r="N946" s="27"/>
    </row>
    <row r="947" spans="9:14" x14ac:dyDescent="0.25">
      <c r="I947" s="7">
        <v>943</v>
      </c>
      <c r="J947" s="8">
        <v>18.423261392348707</v>
      </c>
      <c r="K947" s="23">
        <v>0</v>
      </c>
      <c r="N947" s="27"/>
    </row>
    <row r="948" spans="9:14" x14ac:dyDescent="0.25">
      <c r="I948" s="9">
        <v>944</v>
      </c>
      <c r="J948" s="10">
        <v>0.36310889925046297</v>
      </c>
      <c r="K948" s="23">
        <v>0</v>
      </c>
      <c r="N948" s="27"/>
    </row>
    <row r="949" spans="9:14" x14ac:dyDescent="0.25">
      <c r="I949" s="7">
        <v>945</v>
      </c>
      <c r="J949" s="8">
        <v>15.058009544609433</v>
      </c>
      <c r="K949" s="23">
        <v>0</v>
      </c>
      <c r="N949" s="27"/>
    </row>
    <row r="950" spans="9:14" x14ac:dyDescent="0.25">
      <c r="I950" s="9">
        <v>946</v>
      </c>
      <c r="J950" s="10">
        <v>2.1791556165626673</v>
      </c>
      <c r="K950" s="23">
        <v>0</v>
      </c>
      <c r="N950" s="27"/>
    </row>
    <row r="951" spans="9:14" x14ac:dyDescent="0.25">
      <c r="I951" s="7">
        <v>947</v>
      </c>
      <c r="J951" s="8">
        <v>29.684012398176094</v>
      </c>
      <c r="K951" s="23">
        <v>0</v>
      </c>
      <c r="N951" s="27"/>
    </row>
    <row r="952" spans="9:14" x14ac:dyDescent="0.25">
      <c r="I952" s="9">
        <v>948</v>
      </c>
      <c r="J952" s="10">
        <v>12.993043261255735</v>
      </c>
      <c r="K952" s="23">
        <v>0</v>
      </c>
      <c r="N952" s="27"/>
    </row>
    <row r="953" spans="9:14" x14ac:dyDescent="0.25">
      <c r="I953" s="7">
        <v>949</v>
      </c>
      <c r="J953" s="8">
        <v>45.447035962249643</v>
      </c>
      <c r="K953" s="23">
        <v>0</v>
      </c>
      <c r="N953" s="27"/>
    </row>
    <row r="954" spans="9:14" x14ac:dyDescent="0.25">
      <c r="I954" s="9">
        <v>950</v>
      </c>
      <c r="J954" s="10">
        <v>9.2005344941054403</v>
      </c>
      <c r="K954" s="23">
        <v>0</v>
      </c>
      <c r="N954" s="27"/>
    </row>
    <row r="955" spans="9:14" x14ac:dyDescent="0.25">
      <c r="I955" s="7">
        <v>951</v>
      </c>
      <c r="J955" s="8">
        <v>30.312419609462779</v>
      </c>
      <c r="K955" s="23">
        <v>0</v>
      </c>
      <c r="N955" s="27"/>
    </row>
    <row r="956" spans="9:14" x14ac:dyDescent="0.25">
      <c r="I956" s="9">
        <v>952</v>
      </c>
      <c r="J956" s="10">
        <v>28.895036884123186</v>
      </c>
      <c r="K956" s="23">
        <v>0</v>
      </c>
      <c r="N956" s="27"/>
    </row>
    <row r="957" spans="9:14" x14ac:dyDescent="0.25">
      <c r="I957" s="7">
        <v>953</v>
      </c>
      <c r="J957" s="8">
        <v>25.958586603295501</v>
      </c>
      <c r="K957" s="23">
        <v>0</v>
      </c>
      <c r="N957" s="27"/>
    </row>
    <row r="958" spans="9:14" x14ac:dyDescent="0.25">
      <c r="I958" s="9">
        <v>954</v>
      </c>
      <c r="J958" s="10">
        <v>38.434775614172494</v>
      </c>
      <c r="K958" s="23">
        <v>0</v>
      </c>
      <c r="N958" s="27"/>
    </row>
    <row r="959" spans="9:14" x14ac:dyDescent="0.25">
      <c r="I959" s="7">
        <v>955</v>
      </c>
      <c r="J959" s="8">
        <v>42.077856224614678</v>
      </c>
      <c r="K959" s="23">
        <v>0</v>
      </c>
      <c r="N959" s="27"/>
    </row>
    <row r="960" spans="9:14" x14ac:dyDescent="0.25">
      <c r="I960" s="9">
        <v>956</v>
      </c>
      <c r="J960" s="10">
        <v>27.59478242020333</v>
      </c>
      <c r="K960" s="23">
        <v>0</v>
      </c>
      <c r="N960" s="27"/>
    </row>
    <row r="961" spans="9:14" x14ac:dyDescent="0.25">
      <c r="I961" s="7">
        <v>957</v>
      </c>
      <c r="J961" s="8">
        <v>1.9345217846118317</v>
      </c>
      <c r="K961" s="23">
        <v>0</v>
      </c>
      <c r="N961" s="27"/>
    </row>
    <row r="962" spans="9:14" x14ac:dyDescent="0.25">
      <c r="I962" s="9">
        <v>958</v>
      </c>
      <c r="J962" s="10">
        <v>-10.476859728252407</v>
      </c>
      <c r="K962" s="23">
        <v>0</v>
      </c>
      <c r="N962" s="27"/>
    </row>
    <row r="963" spans="9:14" x14ac:dyDescent="0.25">
      <c r="I963" s="7">
        <v>959</v>
      </c>
      <c r="J963" s="8">
        <v>32.275542452687532</v>
      </c>
      <c r="K963" s="23">
        <v>0</v>
      </c>
      <c r="N963" s="27"/>
    </row>
    <row r="964" spans="9:14" x14ac:dyDescent="0.25">
      <c r="I964" s="9">
        <v>960</v>
      </c>
      <c r="J964" s="10">
        <v>25.329270639381917</v>
      </c>
      <c r="K964" s="23">
        <v>0</v>
      </c>
      <c r="N964" s="27"/>
    </row>
    <row r="965" spans="9:14" x14ac:dyDescent="0.25">
      <c r="I965" s="7">
        <v>961</v>
      </c>
      <c r="J965" s="8">
        <v>5.6561557665048667</v>
      </c>
      <c r="K965" s="23">
        <v>0</v>
      </c>
      <c r="N965" s="27"/>
    </row>
    <row r="966" spans="9:14" x14ac:dyDescent="0.25">
      <c r="I966" s="9">
        <v>962</v>
      </c>
      <c r="J966" s="10">
        <v>-0.29637668773055736</v>
      </c>
      <c r="K966" s="23">
        <v>0</v>
      </c>
      <c r="N966" s="27"/>
    </row>
    <row r="967" spans="9:14" x14ac:dyDescent="0.25">
      <c r="I967" s="7">
        <v>963</v>
      </c>
      <c r="J967" s="8">
        <v>5.4182382399023936</v>
      </c>
      <c r="K967" s="23">
        <v>0</v>
      </c>
      <c r="N967" s="27"/>
    </row>
    <row r="968" spans="9:14" x14ac:dyDescent="0.25">
      <c r="I968" s="9">
        <v>964</v>
      </c>
      <c r="J968" s="10">
        <v>27.566142209275256</v>
      </c>
      <c r="K968" s="23">
        <v>0</v>
      </c>
      <c r="N968" s="27"/>
    </row>
    <row r="969" spans="9:14" x14ac:dyDescent="0.25">
      <c r="I969" s="7">
        <v>965</v>
      </c>
      <c r="J969" s="8">
        <v>20.618548017642794</v>
      </c>
      <c r="K969" s="23">
        <v>0</v>
      </c>
      <c r="N969" s="27"/>
    </row>
    <row r="970" spans="9:14" x14ac:dyDescent="0.25">
      <c r="I970" s="9">
        <v>966</v>
      </c>
      <c r="J970" s="10">
        <v>14.462922809457382</v>
      </c>
      <c r="K970" s="23">
        <v>0</v>
      </c>
      <c r="N970" s="27"/>
    </row>
    <row r="971" spans="9:14" x14ac:dyDescent="0.25">
      <c r="I971" s="7">
        <v>967</v>
      </c>
      <c r="J971" s="8">
        <v>-19.799662550098233</v>
      </c>
      <c r="K971" s="23">
        <v>0</v>
      </c>
      <c r="N971" s="27"/>
    </row>
    <row r="972" spans="9:14" x14ac:dyDescent="0.25">
      <c r="I972" s="9">
        <v>968</v>
      </c>
      <c r="J972" s="10">
        <v>12.095898292437141</v>
      </c>
      <c r="K972" s="23">
        <v>0</v>
      </c>
      <c r="N972" s="27"/>
    </row>
    <row r="973" spans="9:14" x14ac:dyDescent="0.25">
      <c r="I973" s="7">
        <v>969</v>
      </c>
      <c r="J973" s="8">
        <v>6.0247713446752869</v>
      </c>
      <c r="K973" s="23">
        <v>0</v>
      </c>
      <c r="N973" s="27"/>
    </row>
    <row r="974" spans="9:14" x14ac:dyDescent="0.25">
      <c r="I974" s="9">
        <v>970</v>
      </c>
      <c r="J974" s="10">
        <v>20.973440085067935</v>
      </c>
      <c r="K974" s="23">
        <v>0</v>
      </c>
      <c r="N974" s="27"/>
    </row>
    <row r="975" spans="9:14" x14ac:dyDescent="0.25">
      <c r="I975" s="7">
        <v>971</v>
      </c>
      <c r="J975" s="8">
        <v>7.9380204852505756</v>
      </c>
      <c r="K975" s="23">
        <v>0</v>
      </c>
      <c r="N975" s="27"/>
    </row>
    <row r="976" spans="9:14" x14ac:dyDescent="0.25">
      <c r="I976" s="9">
        <v>972</v>
      </c>
      <c r="J976" s="10">
        <v>27.008179131606212</v>
      </c>
      <c r="K976" s="23">
        <v>0</v>
      </c>
      <c r="N976" s="27"/>
    </row>
    <row r="977" spans="9:14" x14ac:dyDescent="0.25">
      <c r="I977" s="7">
        <v>973</v>
      </c>
      <c r="J977" s="8">
        <v>18.658415870837402</v>
      </c>
      <c r="K977" s="23">
        <v>0</v>
      </c>
      <c r="N977" s="27"/>
    </row>
    <row r="978" spans="9:14" x14ac:dyDescent="0.25">
      <c r="I978" s="9">
        <v>974</v>
      </c>
      <c r="J978" s="10">
        <v>2.1323133542139061</v>
      </c>
      <c r="K978" s="23">
        <v>0</v>
      </c>
      <c r="N978" s="27"/>
    </row>
    <row r="979" spans="9:14" x14ac:dyDescent="0.25">
      <c r="I979" s="7">
        <v>975</v>
      </c>
      <c r="J979" s="8">
        <v>24.136926555351181</v>
      </c>
      <c r="K979" s="23">
        <v>0</v>
      </c>
      <c r="N979" s="27"/>
    </row>
    <row r="980" spans="9:14" x14ac:dyDescent="0.25">
      <c r="I980" s="9">
        <v>976</v>
      </c>
      <c r="J980" s="10">
        <v>9.7890486754565984</v>
      </c>
      <c r="K980" s="23">
        <v>0</v>
      </c>
      <c r="N980" s="27"/>
    </row>
    <row r="981" spans="9:14" x14ac:dyDescent="0.25">
      <c r="I981" s="7">
        <v>977</v>
      </c>
      <c r="J981" s="8">
        <v>16.950668391627431</v>
      </c>
      <c r="K981" s="23">
        <v>0</v>
      </c>
      <c r="N981" s="27"/>
    </row>
    <row r="982" spans="9:14" x14ac:dyDescent="0.25">
      <c r="I982" s="9">
        <v>978</v>
      </c>
      <c r="J982" s="10">
        <v>38.74165399259681</v>
      </c>
      <c r="K982" s="23">
        <v>0</v>
      </c>
      <c r="N982" s="27"/>
    </row>
    <row r="983" spans="9:14" x14ac:dyDescent="0.25">
      <c r="I983" s="7">
        <v>979</v>
      </c>
      <c r="J983" s="8">
        <v>9.3301698727026121</v>
      </c>
      <c r="K983" s="23">
        <v>0</v>
      </c>
      <c r="N983" s="27"/>
    </row>
    <row r="984" spans="9:14" x14ac:dyDescent="0.25">
      <c r="I984" s="9">
        <v>980</v>
      </c>
      <c r="J984" s="10">
        <v>36.915970871263212</v>
      </c>
      <c r="K984" s="23">
        <v>0</v>
      </c>
      <c r="N984" s="27"/>
    </row>
    <row r="985" spans="9:14" x14ac:dyDescent="0.25">
      <c r="I985" s="7">
        <v>981</v>
      </c>
      <c r="J985" s="8">
        <v>21.226196506696979</v>
      </c>
      <c r="K985" s="23">
        <v>0</v>
      </c>
      <c r="N985" s="27"/>
    </row>
    <row r="986" spans="9:14" x14ac:dyDescent="0.25">
      <c r="I986" s="9">
        <v>982</v>
      </c>
      <c r="J986" s="10">
        <v>27.654192969761439</v>
      </c>
      <c r="K986" s="23">
        <v>0</v>
      </c>
      <c r="N986" s="27"/>
    </row>
    <row r="987" spans="9:14" x14ac:dyDescent="0.25">
      <c r="I987" s="7">
        <v>983</v>
      </c>
      <c r="J987" s="8">
        <v>11.963785426097729</v>
      </c>
      <c r="K987" s="23">
        <v>0</v>
      </c>
      <c r="N987" s="27"/>
    </row>
    <row r="988" spans="9:14" x14ac:dyDescent="0.25">
      <c r="I988" s="9">
        <v>984</v>
      </c>
      <c r="J988" s="10">
        <v>8.1933856890529171</v>
      </c>
      <c r="K988" s="23">
        <v>0</v>
      </c>
      <c r="N988" s="27"/>
    </row>
    <row r="989" spans="9:14" x14ac:dyDescent="0.25">
      <c r="I989" s="7">
        <v>985</v>
      </c>
      <c r="J989" s="8">
        <v>25.316640226961709</v>
      </c>
      <c r="K989" s="23">
        <v>0</v>
      </c>
      <c r="N989" s="27"/>
    </row>
    <row r="990" spans="9:14" x14ac:dyDescent="0.25">
      <c r="I990" s="9">
        <v>986</v>
      </c>
      <c r="J990" s="10">
        <v>-16.393249718948425</v>
      </c>
      <c r="K990" s="23">
        <v>0</v>
      </c>
      <c r="N990" s="27"/>
    </row>
    <row r="991" spans="9:14" x14ac:dyDescent="0.25">
      <c r="I991" s="7">
        <v>987</v>
      </c>
      <c r="J991" s="8">
        <v>47.377924228149269</v>
      </c>
      <c r="K991" s="23">
        <v>0</v>
      </c>
      <c r="N991" s="27"/>
    </row>
    <row r="992" spans="9:14" x14ac:dyDescent="0.25">
      <c r="I992" s="9">
        <v>988</v>
      </c>
      <c r="J992" s="10">
        <v>3.0238457678955086</v>
      </c>
      <c r="K992" s="23">
        <v>0</v>
      </c>
      <c r="N992" s="27"/>
    </row>
    <row r="993" spans="9:14" x14ac:dyDescent="0.25">
      <c r="I993" s="7">
        <v>989</v>
      </c>
      <c r="J993" s="8">
        <v>27.13053873304419</v>
      </c>
      <c r="K993" s="23">
        <v>0</v>
      </c>
      <c r="N993" s="27"/>
    </row>
    <row r="994" spans="9:14" x14ac:dyDescent="0.25">
      <c r="I994" s="9">
        <v>990</v>
      </c>
      <c r="J994" s="10">
        <v>49.035471114602984</v>
      </c>
      <c r="K994" s="23">
        <v>0</v>
      </c>
      <c r="N994" s="27"/>
    </row>
    <row r="995" spans="9:14" x14ac:dyDescent="0.25">
      <c r="I995" s="7">
        <v>991</v>
      </c>
      <c r="J995" s="8">
        <v>27.903849842709178</v>
      </c>
      <c r="K995" s="23">
        <v>0</v>
      </c>
      <c r="N995" s="27"/>
    </row>
    <row r="996" spans="9:14" x14ac:dyDescent="0.25">
      <c r="I996" s="9">
        <v>992</v>
      </c>
      <c r="J996" s="10">
        <v>-12.13447836683909</v>
      </c>
      <c r="K996" s="23">
        <v>0</v>
      </c>
      <c r="N996" s="27"/>
    </row>
    <row r="997" spans="9:14" x14ac:dyDescent="0.25">
      <c r="I997" s="7">
        <v>993</v>
      </c>
      <c r="J997" s="8">
        <v>-10.627743010643627</v>
      </c>
      <c r="K997" s="23">
        <v>0</v>
      </c>
      <c r="N997" s="27"/>
    </row>
    <row r="998" spans="9:14" x14ac:dyDescent="0.25">
      <c r="I998" s="9">
        <v>994</v>
      </c>
      <c r="J998" s="10">
        <v>14.029059216051678</v>
      </c>
      <c r="K998" s="23">
        <v>0</v>
      </c>
      <c r="N998" s="27"/>
    </row>
    <row r="999" spans="9:14" x14ac:dyDescent="0.25">
      <c r="I999" s="7">
        <v>995</v>
      </c>
      <c r="J999" s="8">
        <v>0.17026829826451717</v>
      </c>
      <c r="K999" s="23">
        <v>0</v>
      </c>
      <c r="N999" s="27"/>
    </row>
    <row r="1000" spans="9:14" x14ac:dyDescent="0.25">
      <c r="I1000" s="9">
        <v>996</v>
      </c>
      <c r="J1000" s="10">
        <v>-10.367932980640731</v>
      </c>
      <c r="K1000" s="23">
        <v>0</v>
      </c>
      <c r="N1000" s="27"/>
    </row>
    <row r="1001" spans="9:14" x14ac:dyDescent="0.25">
      <c r="I1001" s="7">
        <v>997</v>
      </c>
      <c r="J1001" s="8">
        <v>10.622829584427336</v>
      </c>
      <c r="K1001" s="23">
        <v>0</v>
      </c>
      <c r="N1001" s="27"/>
    </row>
    <row r="1002" spans="9:14" x14ac:dyDescent="0.25">
      <c r="I1002" s="9">
        <v>998</v>
      </c>
      <c r="J1002" s="10">
        <v>18.465096996431299</v>
      </c>
      <c r="K1002" s="23">
        <v>0</v>
      </c>
      <c r="N1002" s="27"/>
    </row>
    <row r="1003" spans="9:14" x14ac:dyDescent="0.25">
      <c r="I1003" s="7">
        <v>999</v>
      </c>
      <c r="J1003" s="8">
        <v>6.5952914019412958</v>
      </c>
      <c r="K1003" s="23">
        <v>0</v>
      </c>
      <c r="N1003" s="27"/>
    </row>
    <row r="1004" spans="9:14" x14ac:dyDescent="0.25">
      <c r="I1004" s="4">
        <v>1000</v>
      </c>
      <c r="J1004" s="11">
        <v>15.578528289903886</v>
      </c>
      <c r="K1004" s="23">
        <v>0</v>
      </c>
      <c r="N1004" s="2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autoPict="0">
                <anchor moveWithCells="1" sizeWithCells="1">
                  <from>
                    <xdr:col>7</xdr:col>
                    <xdr:colOff>66675</xdr:colOff>
                    <xdr:row>3</xdr:row>
                    <xdr:rowOff>161925</xdr:rowOff>
                  </from>
                  <to>
                    <xdr:col>7</xdr:col>
                    <xdr:colOff>381000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04AD78E-D0AD-45BC-A20A-1795B610BB2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dashboard</vt:lpstr>
      <vt:lpstr>dashboard!Print_Area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Zoltán Mészáros</dc:creator>
  <cp:lastModifiedBy>Zoltán Mészáros</cp:lastModifiedBy>
  <dcterms:created xsi:type="dcterms:W3CDTF">2024-02-10T12:35:52Z</dcterms:created>
  <dcterms:modified xsi:type="dcterms:W3CDTF">2024-02-19T14:02:30Z</dcterms:modified>
</cp:coreProperties>
</file>